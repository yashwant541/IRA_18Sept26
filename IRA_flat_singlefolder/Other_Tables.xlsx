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IRA_Final_18Sept26_3\IRA_flat_singlefolder\"/>
    </mc:Choice>
  </mc:AlternateContent>
  <xr:revisionPtr revIDLastSave="0" documentId="13_ncr:1_{1E4763D4-2B41-40AC-9083-3F0E6C2D44E2}" xr6:coauthVersionLast="47" xr6:coauthVersionMax="47" xr10:uidLastSave="{00000000-0000-0000-0000-000000000000}"/>
  <bookViews>
    <workbookView xWindow="-108" yWindow="-108" windowWidth="23256" windowHeight="12456" activeTab="2" xr2:uid="{6C3792BD-ED8C-4773-AE5D-109238BEF1B8}"/>
  </bookViews>
  <sheets>
    <sheet name="Sheet1" sheetId="1" r:id="rId1"/>
    <sheet name="Sheet2" sheetId="2" r:id="rId2"/>
    <sheet name="WM_Shortfal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D10" i="3"/>
  <c r="C10" i="3"/>
  <c r="K60" i="2"/>
  <c r="J60" i="2"/>
  <c r="I60" i="2"/>
  <c r="H60" i="2"/>
  <c r="G60" i="2"/>
  <c r="F60" i="2"/>
  <c r="E60" i="2"/>
  <c r="D60" i="2"/>
  <c r="C60" i="2"/>
  <c r="K59" i="2"/>
  <c r="J59" i="2"/>
  <c r="I59" i="2"/>
  <c r="H59" i="2"/>
  <c r="G59" i="2"/>
  <c r="F59" i="2"/>
  <c r="E59" i="2"/>
  <c r="D59" i="2"/>
  <c r="C59" i="2"/>
  <c r="K17" i="2"/>
  <c r="J17" i="2"/>
  <c r="I17" i="2"/>
  <c r="H17" i="2"/>
  <c r="G17" i="2"/>
  <c r="F17" i="2"/>
  <c r="E17" i="2"/>
  <c r="D17" i="2"/>
  <c r="C17" i="2"/>
</calcChain>
</file>

<file path=xl/sharedStrings.xml><?xml version="1.0" encoding="utf-8"?>
<sst xmlns="http://schemas.openxmlformats.org/spreadsheetml/2006/main" count="1659" uniqueCount="238">
  <si>
    <t>Country</t>
  </si>
  <si>
    <t>#</t>
  </si>
  <si>
    <t>Bangladesh</t>
  </si>
  <si>
    <t>Australia</t>
  </si>
  <si>
    <t>China</t>
  </si>
  <si>
    <t>India</t>
  </si>
  <si>
    <t>Malaysia</t>
  </si>
  <si>
    <t>UAE</t>
  </si>
  <si>
    <t>Credit Risk Appetite Breaches - Unsecured</t>
  </si>
  <si>
    <t>L12M</t>
  </si>
  <si>
    <t>Y</t>
  </si>
  <si>
    <t>Total</t>
  </si>
  <si>
    <t>Credit Risk Appetite Breaches - Secured</t>
  </si>
  <si>
    <t>Country Sovereign Rating &amp; Outlook</t>
  </si>
  <si>
    <t>LCY CRG</t>
  </si>
  <si>
    <t>FCY CRG</t>
  </si>
  <si>
    <t>Outlook</t>
  </si>
  <si>
    <t>1B</t>
  </si>
  <si>
    <t>Negative</t>
  </si>
  <si>
    <t>Stable</t>
  </si>
  <si>
    <t>Positive</t>
  </si>
  <si>
    <t>Approved Date</t>
  </si>
  <si>
    <t>5B</t>
  </si>
  <si>
    <t>7B</t>
  </si>
  <si>
    <t>9B</t>
  </si>
  <si>
    <t>4B</t>
  </si>
  <si>
    <t>2A</t>
  </si>
  <si>
    <t>Property Price Index</t>
  </si>
  <si>
    <t>YOY Change %</t>
  </si>
  <si>
    <t>Nepal</t>
  </si>
  <si>
    <t>Egypt</t>
  </si>
  <si>
    <t>Sri Lanka</t>
  </si>
  <si>
    <t>Oman</t>
  </si>
  <si>
    <t>Pakistan</t>
  </si>
  <si>
    <t>Interest Rates</t>
  </si>
  <si>
    <t>Last 3 yrs</t>
  </si>
  <si>
    <t>Rate Increase</t>
  </si>
  <si>
    <t>Unsecured Portfolio with Active or Expired Dispensation</t>
  </si>
  <si>
    <t>Secured Portfolio with Active or Expired Dispensation</t>
  </si>
  <si>
    <t>SME Portfolio with Active or Expired Dispensation</t>
  </si>
  <si>
    <t>WL Portfolio with Active or Expired Dispensation</t>
  </si>
  <si>
    <t>Bahrain</t>
  </si>
  <si>
    <t>Botswana</t>
  </si>
  <si>
    <t>Brunei</t>
  </si>
  <si>
    <t>Falklands</t>
  </si>
  <si>
    <t>Gambia</t>
  </si>
  <si>
    <t>Ghana</t>
  </si>
  <si>
    <t>Hong Kong</t>
  </si>
  <si>
    <t>IN SCILL</t>
  </si>
  <si>
    <t>Indonesia</t>
  </si>
  <si>
    <t>Jersey</t>
  </si>
  <si>
    <t>Jordan</t>
  </si>
  <si>
    <t>Kenya</t>
  </si>
  <si>
    <t>Korea SCBK</t>
  </si>
  <si>
    <t>Nigeria</t>
  </si>
  <si>
    <t>Qatar</t>
  </si>
  <si>
    <t>Sierra Leone</t>
  </si>
  <si>
    <t>Singapore</t>
  </si>
  <si>
    <t>South Africa</t>
  </si>
  <si>
    <t>Taiwan</t>
  </si>
  <si>
    <t>Tanzania</t>
  </si>
  <si>
    <t>Uganda</t>
  </si>
  <si>
    <t>UK</t>
  </si>
  <si>
    <t>Vietnam</t>
  </si>
  <si>
    <t>Zambia</t>
  </si>
  <si>
    <t>Zimbabwe</t>
  </si>
  <si>
    <t>Afghanistan</t>
  </si>
  <si>
    <t>Albania</t>
  </si>
  <si>
    <t>Algeria</t>
  </si>
  <si>
    <t>Angola</t>
  </si>
  <si>
    <t>Argentina</t>
  </si>
  <si>
    <t>Armenia</t>
  </si>
  <si>
    <t>Austria</t>
  </si>
  <si>
    <t>Azerbaijan</t>
  </si>
  <si>
    <t>Bahamas</t>
  </si>
  <si>
    <t>Bermuda</t>
  </si>
  <si>
    <t>British Virgin Isl BVI</t>
  </si>
  <si>
    <t>Barbados</t>
  </si>
  <si>
    <t>Belarus</t>
  </si>
  <si>
    <t>Belgium</t>
  </si>
  <si>
    <t>Benin</t>
  </si>
  <si>
    <t>Bhutan</t>
  </si>
  <si>
    <t>Bolivia</t>
  </si>
  <si>
    <t>Bosnia And Herzegovina</t>
  </si>
  <si>
    <t>Brazil</t>
  </si>
  <si>
    <t>Brunei Darussalam</t>
  </si>
  <si>
    <t>Bulgaria</t>
  </si>
  <si>
    <t>Burkina Faso</t>
  </si>
  <si>
    <t>Cayman</t>
  </si>
  <si>
    <t>Cambodia</t>
  </si>
  <si>
    <t>Cameroon</t>
  </si>
  <si>
    <t>Canada</t>
  </si>
  <si>
    <t>Chad</t>
  </si>
  <si>
    <t>Chile</t>
  </si>
  <si>
    <t>Colombia</t>
  </si>
  <si>
    <t>Costa Rica</t>
  </si>
  <si>
    <t>Cote D Ivoire</t>
  </si>
  <si>
    <t>Croatia</t>
  </si>
  <si>
    <t>Cyprus</t>
  </si>
  <si>
    <t>Czech Republic</t>
  </si>
  <si>
    <t>Dem Republic Congo Zaire</t>
  </si>
  <si>
    <t>Denmark</t>
  </si>
  <si>
    <t>Djibouti</t>
  </si>
  <si>
    <t>Dominican Republic Dom</t>
  </si>
  <si>
    <t>Ecuador</t>
  </si>
  <si>
    <t>El Salvador</t>
  </si>
  <si>
    <t>Equatorial Guinea GNQ</t>
  </si>
  <si>
    <t>Estonia</t>
  </si>
  <si>
    <t>Eswatini</t>
  </si>
  <si>
    <t>Ethiopia</t>
  </si>
  <si>
    <t>Falkland Islands FLK</t>
  </si>
  <si>
    <t>Finland</t>
  </si>
  <si>
    <t>France</t>
  </si>
  <si>
    <t>Gibraltar</t>
  </si>
  <si>
    <t>Guernsey</t>
  </si>
  <si>
    <t>Gabon</t>
  </si>
  <si>
    <t>Georgia</t>
  </si>
  <si>
    <t>Germany</t>
  </si>
  <si>
    <t>Greece</t>
  </si>
  <si>
    <t>Guatemala</t>
  </si>
  <si>
    <t>Guinea</t>
  </si>
  <si>
    <t>Guinea Bissau</t>
  </si>
  <si>
    <t>Honduras</t>
  </si>
  <si>
    <t>Hungary</t>
  </si>
  <si>
    <t>Isle Of Man</t>
  </si>
  <si>
    <t>Iceland</t>
  </si>
  <si>
    <t>Iran</t>
  </si>
  <si>
    <t>Iraq</t>
  </si>
  <si>
    <t>Ireland</t>
  </si>
  <si>
    <t>Israel</t>
  </si>
  <si>
    <t>Italy</t>
  </si>
  <si>
    <t>Jamaica</t>
  </si>
  <si>
    <t>Japan</t>
  </si>
  <si>
    <t>Kazakhstan</t>
  </si>
  <si>
    <t>Kuwait</t>
  </si>
  <si>
    <t>Kyrgyzstan</t>
  </si>
  <si>
    <t>Liechtenstein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</si>
  <si>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</si>
  <si>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</si>
  <si>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</si>
  <si>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</si>
  <si>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</si>
  <si>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</si>
  <si>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</si>
  <si>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</si>
  <si>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Marshall Islands MHL</t>
  </si>
  <si>
    <t>Monaco</t>
  </si>
  <si>
    <t>Macao</t>
  </si>
  <si>
    <t>Madagascar</t>
  </si>
  <si>
    <t>Malawi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</si>
  <si>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</si>
  <si>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</si>
  <si>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</si>
  <si>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</si>
  <si>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</si>
  <si>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</si>
  <si>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</si>
  <si>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</si>
  <si>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</si>
  <si>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</si>
  <si>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</si>
  <si>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</si>
  <si>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Netherlands</t>
  </si>
  <si>
    <t>New Zealand</t>
  </si>
  <si>
    <t>Nicaragua</t>
  </si>
  <si>
    <t>North Macedonia</t>
  </si>
  <si>
    <t>Norway</t>
  </si>
  <si>
    <t>Panama</t>
  </si>
  <si>
    <t>Papua</t>
  </si>
  <si>
    <t>Paraguay</t>
  </si>
  <si>
    <t>Peru</t>
  </si>
  <si>
    <t>Philippines</t>
  </si>
  <si>
    <t>Poland</t>
  </si>
  <si>
    <t>Portugal</t>
  </si>
  <si>
    <t>Republic Of The Congo</t>
  </si>
  <si>
    <t>Romania</t>
  </si>
  <si>
    <t>Russia</t>
  </si>
  <si>
    <t>Rwanda</t>
  </si>
  <si>
    <t>Saudi Arabia</t>
  </si>
  <si>
    <t>Saint Vincent and the Grenadines</t>
  </si>
  <si>
    <t>Senegal</t>
  </si>
  <si>
    <t>Serbia</t>
  </si>
  <si>
    <t>Seychelles</t>
  </si>
  <si>
    <t>Slovakia</t>
  </si>
  <si>
    <t>Slovenia</t>
  </si>
  <si>
    <t>South Korea</t>
  </si>
  <si>
    <t>Spain</t>
  </si>
  <si>
    <t>Sudan</t>
  </si>
  <si>
    <t>Sweden</t>
  </si>
  <si>
    <t>Switzerland</t>
  </si>
  <si>
    <t>Thailand</t>
  </si>
  <si>
    <t>Togo</t>
  </si>
  <si>
    <t>Trinidad And Tobago</t>
  </si>
  <si>
    <t>Tunisia</t>
  </si>
  <si>
    <t>Turkey</t>
  </si>
  <si>
    <t>Tajikistan</t>
  </si>
  <si>
    <t>Turkmenistan</t>
  </si>
  <si>
    <t>Ukraine</t>
  </si>
  <si>
    <t>United Arab Emirates</t>
  </si>
  <si>
    <t>United Kingdom</t>
  </si>
  <si>
    <t>United Rep Of Tanzania</t>
  </si>
  <si>
    <t>United States</t>
  </si>
  <si>
    <t>Uruguay</t>
  </si>
  <si>
    <t>Uzbekistan</t>
  </si>
  <si>
    <t>Venezuela</t>
  </si>
  <si>
    <t>1A</t>
  </si>
  <si>
    <t>3A</t>
  </si>
  <si>
    <t>6B</t>
  </si>
  <si>
    <t>8B</t>
  </si>
  <si>
    <t>Credit Risk Appetite Breaches - SME</t>
  </si>
  <si>
    <t>Credit Risk Appetite Breaches - PvB</t>
  </si>
  <si>
    <t>Priority Banking</t>
  </si>
  <si>
    <t>Account Status</t>
  </si>
  <si>
    <t>Account/Markets</t>
  </si>
  <si>
    <t>Outstanding
$m</t>
  </si>
  <si>
    <t>% of Total WML Outstanding $m</t>
  </si>
  <si>
    <t>Shortfall Amount $m</t>
  </si>
  <si>
    <t>Top 10 Markets 
(&gt;90% of Total, all markets with MTM collateral)</t>
  </si>
  <si>
    <t>Singapor</t>
  </si>
  <si>
    <t>India (SCB)</t>
  </si>
  <si>
    <t>India (SCILL)</t>
  </si>
  <si>
    <t>Below maintenance</t>
  </si>
  <si>
    <t>Top Up</t>
  </si>
  <si>
    <t>Sell Down</t>
  </si>
  <si>
    <t>Negative Equity</t>
  </si>
  <si>
    <t>Total Shortfall</t>
  </si>
  <si>
    <t>Private Banking</t>
  </si>
  <si>
    <t>Shortfall against securities/margin trading:</t>
  </si>
  <si>
    <t>Total client</t>
  </si>
  <si>
    <t>Total Amount (USD'000)</t>
  </si>
  <si>
    <t>Clients</t>
  </si>
  <si>
    <t>Amount</t>
  </si>
  <si>
    <t>(USD'000)</t>
  </si>
  <si>
    <t>SCILL</t>
  </si>
  <si>
    <t>OTC Plus</t>
  </si>
  <si>
    <t>Shortfall against real estate:</t>
  </si>
  <si>
    <t xml:space="preserve"> Amount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</si>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</sst>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7" fontId="0" fillId="0" borderId="0" xfId="0" applyNumberFormat="1"/>
    <xf numFmtId="17" fontId="2" fillId="3" borderId="1" xfId="0" applyNumberFormat="1" applyFont="1" applyFill="1" applyBorder="1"/>
    <xf numFmtId="0" fontId="0" fillId="3" borderId="1" xfId="0" applyFill="1" applyBorder="1"/>
    <xf numFmtId="0" fontId="1" fillId="2" borderId="0" xfId="0" applyFont="1" applyFill="1"/>
    <xf numFmtId="17" fontId="0" fillId="0" borderId="1" xfId="0" applyNumberFormat="1" applyBorder="1"/>
    <xf numFmtId="1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0" fontId="0" fillId="0" borderId="1" xfId="0" applyNumberFormat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DD09-2CDC-4408-B218-2E5165BFA555}">
  <dimension ref="B2:P480"/>
  <sheetViews>
    <sheetView workbookViewId="0"/>
  </sheetViews>
  <sheetFormatPr defaultRowHeight="14.4" x14ac:dyDescent="0.3"/>
  <cols>
    <col min="2" max="2" width="34.88671875" customWidth="1"/>
    <col min="3" max="3" width="19.21875" customWidth="1"/>
    <col min="6" max="6" width="13.5546875" customWidth="1"/>
  </cols>
  <sheetData>
    <row r="2" spans="2:6" x14ac:dyDescent="0.3">
      <c r="B2" s="29" t="s">
        <v>37</v>
      </c>
      <c r="C2" s="29"/>
      <c r="E2" s="9"/>
      <c r="F2" s="9"/>
    </row>
    <row r="3" spans="2:6" x14ac:dyDescent="0.3">
      <c r="B3" s="1" t="s">
        <v>0</v>
      </c>
      <c r="C3" s="1" t="s">
        <v>1</v>
      </c>
      <c r="E3" s="10"/>
      <c r="F3" s="10"/>
    </row>
    <row r="4" spans="2:6" x14ac:dyDescent="0.3">
      <c r="B4" s="12" t="s">
        <v>41</v>
      </c>
      <c r="C4" s="12">
        <v>1</v>
      </c>
    </row>
    <row r="5" spans="2:6" x14ac:dyDescent="0.3">
      <c r="B5" s="12" t="s">
        <v>2</v>
      </c>
      <c r="C5" s="12">
        <v>3</v>
      </c>
    </row>
    <row r="6" spans="2:6" x14ac:dyDescent="0.3">
      <c r="B6" s="12" t="s">
        <v>42</v>
      </c>
      <c r="C6" s="12">
        <v>4</v>
      </c>
    </row>
    <row r="7" spans="2:6" x14ac:dyDescent="0.3">
      <c r="B7" s="12" t="s">
        <v>43</v>
      </c>
      <c r="C7" s="12">
        <v>2</v>
      </c>
    </row>
    <row r="8" spans="2:6" x14ac:dyDescent="0.3">
      <c r="B8" s="12" t="s">
        <v>4</v>
      </c>
      <c r="C8" s="12">
        <v>1</v>
      </c>
    </row>
    <row r="9" spans="2:6" x14ac:dyDescent="0.3">
      <c r="B9" s="12" t="s">
        <v>44</v>
      </c>
      <c r="C9" s="12">
        <v>3</v>
      </c>
    </row>
    <row r="10" spans="2:6" x14ac:dyDescent="0.3">
      <c r="B10" s="12" t="s">
        <v>45</v>
      </c>
      <c r="C10" s="12">
        <v>2</v>
      </c>
    </row>
    <row r="11" spans="2:6" x14ac:dyDescent="0.3">
      <c r="B11" s="12" t="s">
        <v>46</v>
      </c>
      <c r="C11" s="12">
        <v>5</v>
      </c>
    </row>
    <row r="12" spans="2:6" x14ac:dyDescent="0.3">
      <c r="B12" s="12" t="s">
        <v>47</v>
      </c>
      <c r="C12" s="12">
        <v>3</v>
      </c>
    </row>
    <row r="13" spans="2:6" x14ac:dyDescent="0.3">
      <c r="B13" s="12" t="s">
        <v>48</v>
      </c>
      <c r="C13" s="12">
        <v>1</v>
      </c>
    </row>
    <row r="14" spans="2:6" x14ac:dyDescent="0.3">
      <c r="B14" s="12" t="s">
        <v>5</v>
      </c>
      <c r="C14" s="12">
        <v>2</v>
      </c>
    </row>
    <row r="15" spans="2:6" x14ac:dyDescent="0.3">
      <c r="B15" s="12" t="s">
        <v>49</v>
      </c>
      <c r="C15" s="12">
        <v>4</v>
      </c>
    </row>
    <row r="16" spans="2:6" x14ac:dyDescent="0.3">
      <c r="B16" s="12" t="s">
        <v>50</v>
      </c>
      <c r="C16" s="12">
        <v>1</v>
      </c>
    </row>
    <row r="17" spans="2:3" x14ac:dyDescent="0.3">
      <c r="B17" s="12" t="s">
        <v>51</v>
      </c>
      <c r="C17" s="12">
        <v>3</v>
      </c>
    </row>
    <row r="18" spans="2:3" x14ac:dyDescent="0.3">
      <c r="B18" s="12" t="s">
        <v>52</v>
      </c>
      <c r="C18" s="12">
        <v>5</v>
      </c>
    </row>
    <row r="19" spans="2:3" x14ac:dyDescent="0.3">
      <c r="B19" s="12" t="s">
        <v>53</v>
      </c>
      <c r="C19" s="12">
        <v>2</v>
      </c>
    </row>
    <row r="20" spans="2:3" x14ac:dyDescent="0.3">
      <c r="B20" s="12" t="s">
        <v>6</v>
      </c>
      <c r="C20" s="12">
        <v>6</v>
      </c>
    </row>
    <row r="21" spans="2:3" x14ac:dyDescent="0.3">
      <c r="B21" s="12" t="s">
        <v>29</v>
      </c>
      <c r="C21" s="12">
        <v>2</v>
      </c>
    </row>
    <row r="22" spans="2:3" x14ac:dyDescent="0.3">
      <c r="B22" s="12" t="s">
        <v>54</v>
      </c>
      <c r="C22" s="12">
        <v>4</v>
      </c>
    </row>
    <row r="23" spans="2:3" x14ac:dyDescent="0.3">
      <c r="B23" s="12" t="s">
        <v>32</v>
      </c>
      <c r="C23" s="12">
        <v>3</v>
      </c>
    </row>
    <row r="24" spans="2:3" x14ac:dyDescent="0.3">
      <c r="B24" s="12" t="s">
        <v>33</v>
      </c>
      <c r="C24" s="12">
        <v>5</v>
      </c>
    </row>
    <row r="25" spans="2:3" x14ac:dyDescent="0.3">
      <c r="B25" s="12" t="s">
        <v>55</v>
      </c>
      <c r="C25" s="12">
        <v>2</v>
      </c>
    </row>
    <row r="26" spans="2:3" x14ac:dyDescent="0.3">
      <c r="B26" s="12" t="s">
        <v>56</v>
      </c>
      <c r="C26" s="12">
        <v>3</v>
      </c>
    </row>
    <row r="27" spans="2:3" x14ac:dyDescent="0.3">
      <c r="B27" s="12" t="s">
        <v>57</v>
      </c>
      <c r="C27" s="12">
        <v>1</v>
      </c>
    </row>
    <row r="28" spans="2:3" x14ac:dyDescent="0.3">
      <c r="B28" s="12" t="s">
        <v>58</v>
      </c>
      <c r="C28" s="12">
        <v>4</v>
      </c>
    </row>
    <row r="29" spans="2:3" x14ac:dyDescent="0.3">
      <c r="B29" s="12" t="s">
        <v>31</v>
      </c>
      <c r="C29" s="12">
        <v>3</v>
      </c>
    </row>
    <row r="30" spans="2:3" x14ac:dyDescent="0.3">
      <c r="B30" s="12" t="s">
        <v>59</v>
      </c>
      <c r="C30" s="12">
        <v>2</v>
      </c>
    </row>
    <row r="31" spans="2:3" x14ac:dyDescent="0.3">
      <c r="B31" s="12" t="s">
        <v>60</v>
      </c>
      <c r="C31" s="12">
        <v>4</v>
      </c>
    </row>
    <row r="32" spans="2:3" x14ac:dyDescent="0.3">
      <c r="B32" s="12" t="s">
        <v>7</v>
      </c>
      <c r="C32" s="12">
        <v>3</v>
      </c>
    </row>
    <row r="33" spans="2:3" x14ac:dyDescent="0.3">
      <c r="B33" s="12" t="s">
        <v>61</v>
      </c>
      <c r="C33" s="12">
        <v>2</v>
      </c>
    </row>
    <row r="34" spans="2:3" x14ac:dyDescent="0.3">
      <c r="B34" s="12" t="s">
        <v>62</v>
      </c>
      <c r="C34" s="12">
        <v>1</v>
      </c>
    </row>
    <row r="35" spans="2:3" x14ac:dyDescent="0.3">
      <c r="B35" s="12" t="s">
        <v>63</v>
      </c>
      <c r="C35" s="12">
        <v>5</v>
      </c>
    </row>
    <row r="36" spans="2:3" x14ac:dyDescent="0.3">
      <c r="B36" s="12" t="s">
        <v>64</v>
      </c>
      <c r="C36" s="12">
        <v>3</v>
      </c>
    </row>
    <row r="37" spans="2:3" x14ac:dyDescent="0.3">
      <c r="B37" s="12" t="s">
        <v>65</v>
      </c>
      <c r="C37" s="12">
        <v>2</v>
      </c>
    </row>
    <row r="38" spans="2:3" x14ac:dyDescent="0.3">
      <c r="B38" s="13" t="s">
        <v>11</v>
      </c>
      <c r="C38" s="13">
        <v>94</v>
      </c>
    </row>
    <row r="40" spans="2:3" x14ac:dyDescent="0.3">
      <c r="B40" s="29" t="s">
        <v>38</v>
      </c>
      <c r="C40" s="29"/>
    </row>
    <row r="41" spans="2:3" x14ac:dyDescent="0.3">
      <c r="B41" s="1" t="s">
        <v>0</v>
      </c>
      <c r="C41" s="1" t="s">
        <v>1</v>
      </c>
    </row>
    <row r="42" spans="2:3" x14ac:dyDescent="0.3">
      <c r="B42" s="12" t="s">
        <v>41</v>
      </c>
      <c r="C42" s="12">
        <v>1</v>
      </c>
    </row>
    <row r="43" spans="2:3" x14ac:dyDescent="0.3">
      <c r="B43" s="12" t="s">
        <v>2</v>
      </c>
      <c r="C43" s="12">
        <v>3</v>
      </c>
    </row>
    <row r="44" spans="2:3" x14ac:dyDescent="0.3">
      <c r="B44" s="12" t="s">
        <v>42</v>
      </c>
      <c r="C44" s="12">
        <v>4</v>
      </c>
    </row>
    <row r="45" spans="2:3" x14ac:dyDescent="0.3">
      <c r="B45" s="12" t="s">
        <v>43</v>
      </c>
      <c r="C45" s="12">
        <v>2</v>
      </c>
    </row>
    <row r="46" spans="2:3" x14ac:dyDescent="0.3">
      <c r="B46" s="12" t="s">
        <v>4</v>
      </c>
      <c r="C46" s="12">
        <v>1</v>
      </c>
    </row>
    <row r="47" spans="2:3" x14ac:dyDescent="0.3">
      <c r="B47" s="12" t="s">
        <v>44</v>
      </c>
      <c r="C47" s="12">
        <v>3</v>
      </c>
    </row>
    <row r="48" spans="2:3" x14ac:dyDescent="0.3">
      <c r="B48" s="12" t="s">
        <v>45</v>
      </c>
      <c r="C48" s="12">
        <v>2</v>
      </c>
    </row>
    <row r="49" spans="2:3" x14ac:dyDescent="0.3">
      <c r="B49" s="12" t="s">
        <v>46</v>
      </c>
      <c r="C49" s="12">
        <v>5</v>
      </c>
    </row>
    <row r="50" spans="2:3" x14ac:dyDescent="0.3">
      <c r="B50" s="12" t="s">
        <v>47</v>
      </c>
      <c r="C50" s="12">
        <v>3</v>
      </c>
    </row>
    <row r="51" spans="2:3" x14ac:dyDescent="0.3">
      <c r="B51" s="12" t="s">
        <v>48</v>
      </c>
      <c r="C51" s="12">
        <v>1</v>
      </c>
    </row>
    <row r="52" spans="2:3" x14ac:dyDescent="0.3">
      <c r="B52" s="12" t="s">
        <v>5</v>
      </c>
      <c r="C52" s="12">
        <v>2</v>
      </c>
    </row>
    <row r="53" spans="2:3" x14ac:dyDescent="0.3">
      <c r="B53" s="12" t="s">
        <v>49</v>
      </c>
      <c r="C53" s="12">
        <v>4</v>
      </c>
    </row>
    <row r="54" spans="2:3" x14ac:dyDescent="0.3">
      <c r="B54" s="12" t="s">
        <v>50</v>
      </c>
      <c r="C54" s="12">
        <v>1</v>
      </c>
    </row>
    <row r="55" spans="2:3" x14ac:dyDescent="0.3">
      <c r="B55" s="12" t="s">
        <v>51</v>
      </c>
      <c r="C55" s="12">
        <v>3</v>
      </c>
    </row>
    <row r="56" spans="2:3" x14ac:dyDescent="0.3">
      <c r="B56" s="12" t="s">
        <v>52</v>
      </c>
      <c r="C56" s="12">
        <v>5</v>
      </c>
    </row>
    <row r="57" spans="2:3" x14ac:dyDescent="0.3">
      <c r="B57" s="12" t="s">
        <v>53</v>
      </c>
      <c r="C57" s="12">
        <v>2</v>
      </c>
    </row>
    <row r="58" spans="2:3" x14ac:dyDescent="0.3">
      <c r="B58" s="12" t="s">
        <v>6</v>
      </c>
      <c r="C58" s="12">
        <v>6</v>
      </c>
    </row>
    <row r="59" spans="2:3" x14ac:dyDescent="0.3">
      <c r="B59" s="12" t="s">
        <v>29</v>
      </c>
      <c r="C59" s="12">
        <v>2</v>
      </c>
    </row>
    <row r="60" spans="2:3" x14ac:dyDescent="0.3">
      <c r="B60" s="12" t="s">
        <v>54</v>
      </c>
      <c r="C60" s="12">
        <v>4</v>
      </c>
    </row>
    <row r="61" spans="2:3" x14ac:dyDescent="0.3">
      <c r="B61" s="12" t="s">
        <v>32</v>
      </c>
      <c r="C61" s="12">
        <v>3</v>
      </c>
    </row>
    <row r="62" spans="2:3" x14ac:dyDescent="0.3">
      <c r="B62" s="12" t="s">
        <v>33</v>
      </c>
      <c r="C62" s="12">
        <v>5</v>
      </c>
    </row>
    <row r="63" spans="2:3" x14ac:dyDescent="0.3">
      <c r="B63" s="12" t="s">
        <v>55</v>
      </c>
      <c r="C63" s="12">
        <v>2</v>
      </c>
    </row>
    <row r="64" spans="2:3" x14ac:dyDescent="0.3">
      <c r="B64" s="12" t="s">
        <v>56</v>
      </c>
      <c r="C64" s="12">
        <v>3</v>
      </c>
    </row>
    <row r="65" spans="2:3" x14ac:dyDescent="0.3">
      <c r="B65" s="12" t="s">
        <v>57</v>
      </c>
      <c r="C65" s="12">
        <v>1</v>
      </c>
    </row>
    <row r="66" spans="2:3" x14ac:dyDescent="0.3">
      <c r="B66" s="12" t="s">
        <v>58</v>
      </c>
      <c r="C66" s="12">
        <v>4</v>
      </c>
    </row>
    <row r="67" spans="2:3" x14ac:dyDescent="0.3">
      <c r="B67" s="12" t="s">
        <v>31</v>
      </c>
      <c r="C67" s="12">
        <v>3</v>
      </c>
    </row>
    <row r="68" spans="2:3" x14ac:dyDescent="0.3">
      <c r="B68" s="12" t="s">
        <v>59</v>
      </c>
      <c r="C68" s="12">
        <v>2</v>
      </c>
    </row>
    <row r="69" spans="2:3" x14ac:dyDescent="0.3">
      <c r="B69" s="12" t="s">
        <v>60</v>
      </c>
      <c r="C69" s="12">
        <v>4</v>
      </c>
    </row>
    <row r="70" spans="2:3" x14ac:dyDescent="0.3">
      <c r="B70" s="12" t="s">
        <v>7</v>
      </c>
      <c r="C70" s="12">
        <v>3</v>
      </c>
    </row>
    <row r="71" spans="2:3" x14ac:dyDescent="0.3">
      <c r="B71" s="12" t="s">
        <v>61</v>
      </c>
      <c r="C71" s="12">
        <v>2</v>
      </c>
    </row>
    <row r="72" spans="2:3" x14ac:dyDescent="0.3">
      <c r="B72" s="12" t="s">
        <v>62</v>
      </c>
      <c r="C72" s="12">
        <v>1</v>
      </c>
    </row>
    <row r="73" spans="2:3" x14ac:dyDescent="0.3">
      <c r="B73" s="12" t="s">
        <v>63</v>
      </c>
      <c r="C73" s="12">
        <v>5</v>
      </c>
    </row>
    <row r="74" spans="2:3" x14ac:dyDescent="0.3">
      <c r="B74" s="12" t="s">
        <v>64</v>
      </c>
      <c r="C74" s="12">
        <v>3</v>
      </c>
    </row>
    <row r="75" spans="2:3" x14ac:dyDescent="0.3">
      <c r="B75" s="12" t="s">
        <v>65</v>
      </c>
      <c r="C75" s="12">
        <v>2</v>
      </c>
    </row>
    <row r="76" spans="2:3" x14ac:dyDescent="0.3">
      <c r="B76" s="13" t="s">
        <v>11</v>
      </c>
      <c r="C76" s="13">
        <v>94</v>
      </c>
    </row>
    <row r="78" spans="2:3" x14ac:dyDescent="0.3">
      <c r="B78" s="29" t="s">
        <v>39</v>
      </c>
      <c r="C78" s="29"/>
    </row>
    <row r="79" spans="2:3" x14ac:dyDescent="0.3">
      <c r="B79" s="1" t="s">
        <v>0</v>
      </c>
      <c r="C79" s="1" t="s">
        <v>1</v>
      </c>
    </row>
    <row r="80" spans="2:3" x14ac:dyDescent="0.3">
      <c r="B80" s="12" t="s">
        <v>41</v>
      </c>
      <c r="C80" s="12">
        <v>1</v>
      </c>
    </row>
    <row r="81" spans="2:3" x14ac:dyDescent="0.3">
      <c r="B81" s="12" t="s">
        <v>2</v>
      </c>
      <c r="C81" s="12">
        <v>3</v>
      </c>
    </row>
    <row r="82" spans="2:3" x14ac:dyDescent="0.3">
      <c r="B82" s="12" t="s">
        <v>42</v>
      </c>
      <c r="C82" s="12">
        <v>4</v>
      </c>
    </row>
    <row r="83" spans="2:3" x14ac:dyDescent="0.3">
      <c r="B83" s="12" t="s">
        <v>43</v>
      </c>
      <c r="C83" s="12">
        <v>2</v>
      </c>
    </row>
    <row r="84" spans="2:3" x14ac:dyDescent="0.3">
      <c r="B84" s="12" t="s">
        <v>4</v>
      </c>
      <c r="C84" s="12">
        <v>1</v>
      </c>
    </row>
    <row r="85" spans="2:3" x14ac:dyDescent="0.3">
      <c r="B85" s="12" t="s">
        <v>44</v>
      </c>
      <c r="C85" s="12">
        <v>3</v>
      </c>
    </row>
    <row r="86" spans="2:3" x14ac:dyDescent="0.3">
      <c r="B86" s="12" t="s">
        <v>45</v>
      </c>
      <c r="C86" s="12">
        <v>2</v>
      </c>
    </row>
    <row r="87" spans="2:3" x14ac:dyDescent="0.3">
      <c r="B87" s="12" t="s">
        <v>46</v>
      </c>
      <c r="C87" s="12">
        <v>5</v>
      </c>
    </row>
    <row r="88" spans="2:3" x14ac:dyDescent="0.3">
      <c r="B88" s="12" t="s">
        <v>47</v>
      </c>
      <c r="C88" s="12">
        <v>3</v>
      </c>
    </row>
    <row r="89" spans="2:3" x14ac:dyDescent="0.3">
      <c r="B89" s="12" t="s">
        <v>48</v>
      </c>
      <c r="C89" s="12">
        <v>1</v>
      </c>
    </row>
    <row r="90" spans="2:3" x14ac:dyDescent="0.3">
      <c r="B90" s="12" t="s">
        <v>5</v>
      </c>
      <c r="C90" s="12">
        <v>2</v>
      </c>
    </row>
    <row r="91" spans="2:3" x14ac:dyDescent="0.3">
      <c r="B91" s="12" t="s">
        <v>49</v>
      </c>
      <c r="C91" s="12">
        <v>4</v>
      </c>
    </row>
    <row r="92" spans="2:3" x14ac:dyDescent="0.3">
      <c r="B92" s="12" t="s">
        <v>50</v>
      </c>
      <c r="C92" s="12">
        <v>1</v>
      </c>
    </row>
    <row r="93" spans="2:3" x14ac:dyDescent="0.3">
      <c r="B93" s="12" t="s">
        <v>51</v>
      </c>
      <c r="C93" s="12">
        <v>3</v>
      </c>
    </row>
    <row r="94" spans="2:3" x14ac:dyDescent="0.3">
      <c r="B94" s="12" t="s">
        <v>52</v>
      </c>
      <c r="C94" s="12">
        <v>5</v>
      </c>
    </row>
    <row r="95" spans="2:3" x14ac:dyDescent="0.3">
      <c r="B95" s="12" t="s">
        <v>53</v>
      </c>
      <c r="C95" s="12">
        <v>2</v>
      </c>
    </row>
    <row r="96" spans="2:3" x14ac:dyDescent="0.3">
      <c r="B96" s="12" t="s">
        <v>6</v>
      </c>
      <c r="C96" s="12">
        <v>6</v>
      </c>
    </row>
    <row r="97" spans="2:3" x14ac:dyDescent="0.3">
      <c r="B97" s="12" t="s">
        <v>29</v>
      </c>
      <c r="C97" s="12">
        <v>2</v>
      </c>
    </row>
    <row r="98" spans="2:3" x14ac:dyDescent="0.3">
      <c r="B98" s="12" t="s">
        <v>54</v>
      </c>
      <c r="C98" s="12">
        <v>4</v>
      </c>
    </row>
    <row r="99" spans="2:3" x14ac:dyDescent="0.3">
      <c r="B99" s="12" t="s">
        <v>32</v>
      </c>
      <c r="C99" s="12">
        <v>3</v>
      </c>
    </row>
    <row r="100" spans="2:3" x14ac:dyDescent="0.3">
      <c r="B100" s="12" t="s">
        <v>33</v>
      </c>
      <c r="C100" s="12">
        <v>5</v>
      </c>
    </row>
    <row r="101" spans="2:3" x14ac:dyDescent="0.3">
      <c r="B101" s="12" t="s">
        <v>55</v>
      </c>
      <c r="C101" s="12">
        <v>2</v>
      </c>
    </row>
    <row r="102" spans="2:3" x14ac:dyDescent="0.3">
      <c r="B102" s="12" t="s">
        <v>56</v>
      </c>
      <c r="C102" s="12">
        <v>3</v>
      </c>
    </row>
    <row r="103" spans="2:3" x14ac:dyDescent="0.3">
      <c r="B103" s="12" t="s">
        <v>57</v>
      </c>
      <c r="C103" s="12">
        <v>1</v>
      </c>
    </row>
    <row r="104" spans="2:3" x14ac:dyDescent="0.3">
      <c r="B104" s="12" t="s">
        <v>58</v>
      </c>
      <c r="C104" s="12">
        <v>4</v>
      </c>
    </row>
    <row r="105" spans="2:3" x14ac:dyDescent="0.3">
      <c r="B105" s="12" t="s">
        <v>31</v>
      </c>
      <c r="C105" s="12">
        <v>3</v>
      </c>
    </row>
    <row r="106" spans="2:3" x14ac:dyDescent="0.3">
      <c r="B106" s="12" t="s">
        <v>59</v>
      </c>
      <c r="C106" s="12">
        <v>2</v>
      </c>
    </row>
    <row r="107" spans="2:3" x14ac:dyDescent="0.3">
      <c r="B107" s="12" t="s">
        <v>60</v>
      </c>
      <c r="C107" s="12">
        <v>4</v>
      </c>
    </row>
    <row r="108" spans="2:3" x14ac:dyDescent="0.3">
      <c r="B108" s="12" t="s">
        <v>7</v>
      </c>
      <c r="C108" s="12">
        <v>3</v>
      </c>
    </row>
    <row r="109" spans="2:3" x14ac:dyDescent="0.3">
      <c r="B109" s="12" t="s">
        <v>61</v>
      </c>
      <c r="C109" s="12">
        <v>2</v>
      </c>
    </row>
    <row r="110" spans="2:3" x14ac:dyDescent="0.3">
      <c r="B110" s="12" t="s">
        <v>62</v>
      </c>
      <c r="C110" s="12">
        <v>1</v>
      </c>
    </row>
    <row r="111" spans="2:3" x14ac:dyDescent="0.3">
      <c r="B111" s="12" t="s">
        <v>63</v>
      </c>
      <c r="C111" s="12">
        <v>5</v>
      </c>
    </row>
    <row r="112" spans="2:3" x14ac:dyDescent="0.3">
      <c r="B112" s="12" t="s">
        <v>64</v>
      </c>
      <c r="C112" s="12">
        <v>3</v>
      </c>
    </row>
    <row r="113" spans="2:6" x14ac:dyDescent="0.3">
      <c r="B113" s="12" t="s">
        <v>65</v>
      </c>
      <c r="C113" s="12">
        <v>2</v>
      </c>
    </row>
    <row r="114" spans="2:6" x14ac:dyDescent="0.3">
      <c r="B114" s="13" t="s">
        <v>11</v>
      </c>
      <c r="C114" s="13">
        <v>94</v>
      </c>
    </row>
    <row r="116" spans="2:6" x14ac:dyDescent="0.3">
      <c r="B116" s="29" t="s">
        <v>40</v>
      </c>
      <c r="C116" s="29"/>
      <c r="E116" s="9"/>
      <c r="F116" s="9"/>
    </row>
    <row r="117" spans="2:6" x14ac:dyDescent="0.3">
      <c r="B117" s="1" t="s">
        <v>0</v>
      </c>
      <c r="C117" s="1" t="s">
        <v>1</v>
      </c>
      <c r="E117" s="10"/>
      <c r="F117" s="10"/>
    </row>
    <row r="118" spans="2:6" x14ac:dyDescent="0.3">
      <c r="B118" s="12" t="s">
        <v>41</v>
      </c>
      <c r="C118" s="12">
        <v>1</v>
      </c>
    </row>
    <row r="119" spans="2:6" x14ac:dyDescent="0.3">
      <c r="B119" s="12" t="s">
        <v>2</v>
      </c>
      <c r="C119" s="12">
        <v>3</v>
      </c>
    </row>
    <row r="120" spans="2:6" x14ac:dyDescent="0.3">
      <c r="B120" s="12" t="s">
        <v>42</v>
      </c>
      <c r="C120" s="12">
        <v>4</v>
      </c>
    </row>
    <row r="121" spans="2:6" x14ac:dyDescent="0.3">
      <c r="B121" s="12" t="s">
        <v>43</v>
      </c>
      <c r="C121" s="12">
        <v>2</v>
      </c>
    </row>
    <row r="122" spans="2:6" x14ac:dyDescent="0.3">
      <c r="B122" s="12" t="s">
        <v>4</v>
      </c>
      <c r="C122" s="12">
        <v>1</v>
      </c>
    </row>
    <row r="123" spans="2:6" x14ac:dyDescent="0.3">
      <c r="B123" s="12" t="s">
        <v>44</v>
      </c>
      <c r="C123" s="12">
        <v>3</v>
      </c>
    </row>
    <row r="124" spans="2:6" x14ac:dyDescent="0.3">
      <c r="B124" s="12" t="s">
        <v>45</v>
      </c>
      <c r="C124" s="12">
        <v>2</v>
      </c>
    </row>
    <row r="125" spans="2:6" x14ac:dyDescent="0.3">
      <c r="B125" s="12" t="s">
        <v>46</v>
      </c>
      <c r="C125" s="12">
        <v>5</v>
      </c>
    </row>
    <row r="126" spans="2:6" x14ac:dyDescent="0.3">
      <c r="B126" s="12" t="s">
        <v>47</v>
      </c>
      <c r="C126" s="12">
        <v>3</v>
      </c>
    </row>
    <row r="127" spans="2:6" x14ac:dyDescent="0.3">
      <c r="B127" s="12" t="s">
        <v>48</v>
      </c>
      <c r="C127" s="12">
        <v>1</v>
      </c>
    </row>
    <row r="128" spans="2:6" x14ac:dyDescent="0.3">
      <c r="B128" s="12" t="s">
        <v>5</v>
      </c>
      <c r="C128" s="12">
        <v>2</v>
      </c>
    </row>
    <row r="129" spans="2:3" x14ac:dyDescent="0.3">
      <c r="B129" s="12" t="s">
        <v>49</v>
      </c>
      <c r="C129" s="12">
        <v>4</v>
      </c>
    </row>
    <row r="130" spans="2:3" x14ac:dyDescent="0.3">
      <c r="B130" s="12" t="s">
        <v>50</v>
      </c>
      <c r="C130" s="12">
        <v>1</v>
      </c>
    </row>
    <row r="131" spans="2:3" x14ac:dyDescent="0.3">
      <c r="B131" s="12" t="s">
        <v>51</v>
      </c>
      <c r="C131" s="12">
        <v>3</v>
      </c>
    </row>
    <row r="132" spans="2:3" x14ac:dyDescent="0.3">
      <c r="B132" s="12" t="s">
        <v>52</v>
      </c>
      <c r="C132" s="12">
        <v>5</v>
      </c>
    </row>
    <row r="133" spans="2:3" x14ac:dyDescent="0.3">
      <c r="B133" s="12" t="s">
        <v>53</v>
      </c>
      <c r="C133" s="12">
        <v>2</v>
      </c>
    </row>
    <row r="134" spans="2:3" x14ac:dyDescent="0.3">
      <c r="B134" s="12" t="s">
        <v>6</v>
      </c>
      <c r="C134" s="12">
        <v>6</v>
      </c>
    </row>
    <row r="135" spans="2:3" x14ac:dyDescent="0.3">
      <c r="B135" s="12" t="s">
        <v>29</v>
      </c>
      <c r="C135" s="12">
        <v>2</v>
      </c>
    </row>
    <row r="136" spans="2:3" x14ac:dyDescent="0.3">
      <c r="B136" s="12" t="s">
        <v>54</v>
      </c>
      <c r="C136" s="12">
        <v>4</v>
      </c>
    </row>
    <row r="137" spans="2:3" x14ac:dyDescent="0.3">
      <c r="B137" s="12" t="s">
        <v>32</v>
      </c>
      <c r="C137" s="12">
        <v>3</v>
      </c>
    </row>
    <row r="138" spans="2:3" x14ac:dyDescent="0.3">
      <c r="B138" s="12" t="s">
        <v>33</v>
      </c>
      <c r="C138" s="12">
        <v>5</v>
      </c>
    </row>
    <row r="139" spans="2:3" x14ac:dyDescent="0.3">
      <c r="B139" s="12" t="s">
        <v>55</v>
      </c>
      <c r="C139" s="12">
        <v>2</v>
      </c>
    </row>
    <row r="140" spans="2:3" x14ac:dyDescent="0.3">
      <c r="B140" s="12" t="s">
        <v>56</v>
      </c>
      <c r="C140" s="12">
        <v>3</v>
      </c>
    </row>
    <row r="141" spans="2:3" x14ac:dyDescent="0.3">
      <c r="B141" s="12" t="s">
        <v>57</v>
      </c>
      <c r="C141" s="12">
        <v>1</v>
      </c>
    </row>
    <row r="142" spans="2:3" x14ac:dyDescent="0.3">
      <c r="B142" s="12" t="s">
        <v>58</v>
      </c>
      <c r="C142" s="12">
        <v>4</v>
      </c>
    </row>
    <row r="143" spans="2:3" x14ac:dyDescent="0.3">
      <c r="B143" s="12" t="s">
        <v>31</v>
      </c>
      <c r="C143" s="12">
        <v>3</v>
      </c>
    </row>
    <row r="144" spans="2:3" x14ac:dyDescent="0.3">
      <c r="B144" s="12" t="s">
        <v>59</v>
      </c>
      <c r="C144" s="12">
        <v>2</v>
      </c>
    </row>
    <row r="145" spans="2:16" x14ac:dyDescent="0.3">
      <c r="B145" s="12" t="s">
        <v>60</v>
      </c>
      <c r="C145" s="12">
        <v>4</v>
      </c>
    </row>
    <row r="146" spans="2:16" x14ac:dyDescent="0.3">
      <c r="B146" s="12" t="s">
        <v>7</v>
      </c>
      <c r="C146" s="12">
        <v>3</v>
      </c>
    </row>
    <row r="147" spans="2:16" x14ac:dyDescent="0.3">
      <c r="B147" s="12" t="s">
        <v>61</v>
      </c>
      <c r="C147" s="12">
        <v>2</v>
      </c>
    </row>
    <row r="148" spans="2:16" x14ac:dyDescent="0.3">
      <c r="B148" s="12" t="s">
        <v>62</v>
      </c>
      <c r="C148" s="12">
        <v>1</v>
      </c>
    </row>
    <row r="149" spans="2:16" x14ac:dyDescent="0.3">
      <c r="B149" s="12" t="s">
        <v>63</v>
      </c>
      <c r="C149" s="12">
        <v>5</v>
      </c>
    </row>
    <row r="150" spans="2:16" x14ac:dyDescent="0.3">
      <c r="B150" s="12" t="s">
        <v>64</v>
      </c>
      <c r="C150" s="12">
        <v>3</v>
      </c>
    </row>
    <row r="151" spans="2:16" x14ac:dyDescent="0.3">
      <c r="B151" s="12" t="s">
        <v>65</v>
      </c>
      <c r="C151" s="12">
        <v>2</v>
      </c>
    </row>
    <row r="152" spans="2:16" x14ac:dyDescent="0.3">
      <c r="B152" s="13" t="s">
        <v>11</v>
      </c>
      <c r="C152" s="13">
        <v>94</v>
      </c>
    </row>
    <row r="156" spans="2:16" x14ac:dyDescent="0.3">
      <c r="B156" s="30" t="s">
        <v>8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2"/>
    </row>
    <row r="157" spans="2:16" x14ac:dyDescent="0.3">
      <c r="B157" s="1" t="s">
        <v>0</v>
      </c>
      <c r="C157" s="4">
        <v>45717</v>
      </c>
      <c r="D157" s="4">
        <v>45748</v>
      </c>
      <c r="E157" s="4">
        <v>45778</v>
      </c>
      <c r="F157" s="4">
        <v>45809</v>
      </c>
      <c r="G157" s="4">
        <v>45839</v>
      </c>
      <c r="H157" s="4">
        <v>45870</v>
      </c>
      <c r="I157" s="4">
        <v>45901</v>
      </c>
      <c r="J157" s="4">
        <v>45931</v>
      </c>
      <c r="K157" s="4">
        <v>45962</v>
      </c>
      <c r="L157" s="4">
        <v>45992</v>
      </c>
      <c r="M157" s="4">
        <v>46023</v>
      </c>
      <c r="N157" s="4">
        <v>46054</v>
      </c>
      <c r="O157" s="4">
        <v>46082</v>
      </c>
      <c r="P157" s="1" t="s">
        <v>9</v>
      </c>
    </row>
    <row r="158" spans="2:16" x14ac:dyDescent="0.3">
      <c r="B158" s="12" t="s">
        <v>41</v>
      </c>
      <c r="C158" s="12"/>
      <c r="D158" s="12"/>
      <c r="E158" s="12"/>
      <c r="F158" s="12"/>
      <c r="G158" s="12" t="s">
        <v>10</v>
      </c>
      <c r="H158" s="12"/>
      <c r="I158" s="12" t="s">
        <v>10</v>
      </c>
      <c r="J158" s="12"/>
      <c r="K158" s="12" t="s">
        <v>10</v>
      </c>
      <c r="L158" s="12"/>
      <c r="M158" s="12" t="s">
        <v>10</v>
      </c>
      <c r="N158" s="12"/>
      <c r="O158" s="12"/>
      <c r="P158" s="12">
        <v>4</v>
      </c>
    </row>
    <row r="159" spans="2:16" x14ac:dyDescent="0.3">
      <c r="B159" s="12" t="s">
        <v>2</v>
      </c>
      <c r="C159" s="12" t="s">
        <v>10</v>
      </c>
      <c r="D159" s="12"/>
      <c r="E159" s="12" t="s">
        <v>10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2</v>
      </c>
    </row>
    <row r="160" spans="2:16" x14ac:dyDescent="0.3">
      <c r="B160" s="12" t="s">
        <v>42</v>
      </c>
      <c r="C160" s="12"/>
      <c r="D160" s="12" t="s">
        <v>10</v>
      </c>
      <c r="E160" s="12"/>
      <c r="F160" s="12" t="s">
        <v>10</v>
      </c>
      <c r="G160" s="12"/>
      <c r="H160" s="12"/>
      <c r="I160" s="12"/>
      <c r="J160" s="12" t="s">
        <v>10</v>
      </c>
      <c r="K160" s="12"/>
      <c r="L160" s="12"/>
      <c r="M160" s="12"/>
      <c r="N160" s="12"/>
      <c r="O160" s="12"/>
      <c r="P160" s="12">
        <v>3</v>
      </c>
    </row>
    <row r="161" spans="2:16" x14ac:dyDescent="0.3">
      <c r="B161" s="12" t="s">
        <v>43</v>
      </c>
      <c r="C161" s="12" t="s">
        <v>10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1</v>
      </c>
    </row>
    <row r="162" spans="2:16" x14ac:dyDescent="0.3">
      <c r="B162" s="12" t="s">
        <v>4</v>
      </c>
      <c r="C162" s="12"/>
      <c r="D162" s="12"/>
      <c r="E162" s="12" t="s">
        <v>10</v>
      </c>
      <c r="F162" s="12"/>
      <c r="G162" s="12"/>
      <c r="H162" s="12"/>
      <c r="I162" s="12" t="s">
        <v>10</v>
      </c>
      <c r="J162" s="12"/>
      <c r="K162" s="12"/>
      <c r="L162" s="12"/>
      <c r="M162" s="12"/>
      <c r="N162" s="12"/>
      <c r="O162" s="12"/>
      <c r="P162" s="12">
        <v>2</v>
      </c>
    </row>
    <row r="163" spans="2:16" x14ac:dyDescent="0.3">
      <c r="B163" s="12" t="s">
        <v>44</v>
      </c>
      <c r="C163" s="12" t="s">
        <v>10</v>
      </c>
      <c r="D163" s="12"/>
      <c r="E163" s="12"/>
      <c r="F163" s="12" t="s">
        <v>10</v>
      </c>
      <c r="G163" s="12"/>
      <c r="H163" s="12"/>
      <c r="I163" s="12" t="s">
        <v>10</v>
      </c>
      <c r="J163" s="12"/>
      <c r="K163" s="12"/>
      <c r="L163" s="12" t="s">
        <v>10</v>
      </c>
      <c r="M163" s="12"/>
      <c r="N163" s="12" t="s">
        <v>10</v>
      </c>
      <c r="O163" s="12"/>
      <c r="P163" s="12">
        <v>5</v>
      </c>
    </row>
    <row r="164" spans="2:16" x14ac:dyDescent="0.3">
      <c r="B164" s="12" t="s">
        <v>45</v>
      </c>
      <c r="C164" s="12" t="s">
        <v>10</v>
      </c>
      <c r="D164" s="12" t="s">
        <v>10</v>
      </c>
      <c r="E164" s="12" t="s">
        <v>10</v>
      </c>
      <c r="F164" s="12" t="s">
        <v>10</v>
      </c>
      <c r="G164" s="12" t="s">
        <v>10</v>
      </c>
      <c r="H164" s="12" t="s">
        <v>10</v>
      </c>
      <c r="I164" s="12"/>
      <c r="J164" s="12"/>
      <c r="K164" s="12"/>
      <c r="L164" s="12"/>
      <c r="M164" s="12"/>
      <c r="N164" s="12"/>
      <c r="O164" s="12"/>
      <c r="P164" s="12">
        <v>6</v>
      </c>
    </row>
    <row r="165" spans="2:16" x14ac:dyDescent="0.3">
      <c r="B165" s="12" t="s">
        <v>46</v>
      </c>
      <c r="C165" s="12"/>
      <c r="D165" s="12" t="s">
        <v>10</v>
      </c>
      <c r="E165" s="12"/>
      <c r="F165" s="12"/>
      <c r="G165" s="12" t="s">
        <v>10</v>
      </c>
      <c r="H165" s="12"/>
      <c r="I165" s="12"/>
      <c r="J165" s="12" t="s">
        <v>10</v>
      </c>
      <c r="K165" s="12"/>
      <c r="L165" s="12"/>
      <c r="M165" s="12" t="s">
        <v>10</v>
      </c>
      <c r="N165" s="12"/>
      <c r="O165" s="12"/>
      <c r="P165" s="12">
        <v>4</v>
      </c>
    </row>
    <row r="166" spans="2:16" x14ac:dyDescent="0.3">
      <c r="B166" s="12" t="s">
        <v>47</v>
      </c>
      <c r="C166" s="12"/>
      <c r="D166" s="12"/>
      <c r="E166" s="12" t="s">
        <v>10</v>
      </c>
      <c r="F166" s="12"/>
      <c r="G166" s="12"/>
      <c r="H166" s="12"/>
      <c r="I166" s="12" t="s">
        <v>10</v>
      </c>
      <c r="J166" s="12"/>
      <c r="K166" s="12"/>
      <c r="L166" s="12"/>
      <c r="M166" s="12"/>
      <c r="N166" s="12" t="s">
        <v>10</v>
      </c>
      <c r="O166" s="12"/>
      <c r="P166" s="12">
        <v>3</v>
      </c>
    </row>
    <row r="167" spans="2:16" x14ac:dyDescent="0.3">
      <c r="B167" s="12" t="s">
        <v>48</v>
      </c>
      <c r="C167" s="12" t="s">
        <v>10</v>
      </c>
      <c r="D167" s="12"/>
      <c r="E167" s="12"/>
      <c r="F167" s="12"/>
      <c r="G167" s="12"/>
      <c r="H167" s="12" t="s">
        <v>10</v>
      </c>
      <c r="I167" s="12"/>
      <c r="J167" s="12"/>
      <c r="K167" s="12"/>
      <c r="L167" s="12"/>
      <c r="M167" s="12"/>
      <c r="N167" s="12"/>
      <c r="O167" s="12"/>
      <c r="P167" s="12">
        <v>2</v>
      </c>
    </row>
    <row r="168" spans="2:16" x14ac:dyDescent="0.3">
      <c r="B168" s="12" t="s">
        <v>5</v>
      </c>
      <c r="C168" s="12"/>
      <c r="D168" s="12" t="s">
        <v>10</v>
      </c>
      <c r="E168" s="12"/>
      <c r="F168" s="12" t="s">
        <v>10</v>
      </c>
      <c r="G168" s="12"/>
      <c r="H168" s="12"/>
      <c r="I168" s="12" t="s">
        <v>10</v>
      </c>
      <c r="J168" s="12"/>
      <c r="K168" s="12"/>
      <c r="L168" s="12" t="s">
        <v>10</v>
      </c>
      <c r="M168" s="12"/>
      <c r="N168" s="12"/>
      <c r="O168" s="12"/>
      <c r="P168" s="12">
        <v>4</v>
      </c>
    </row>
    <row r="169" spans="2:16" x14ac:dyDescent="0.3">
      <c r="B169" s="12" t="s">
        <v>49</v>
      </c>
      <c r="C169" s="12" t="s">
        <v>10</v>
      </c>
      <c r="D169" s="12"/>
      <c r="E169" s="12" t="s">
        <v>10</v>
      </c>
      <c r="F169" s="12"/>
      <c r="G169" s="12" t="s">
        <v>10</v>
      </c>
      <c r="H169" s="12"/>
      <c r="I169" s="12"/>
      <c r="J169" s="12"/>
      <c r="K169" s="12" t="s">
        <v>10</v>
      </c>
      <c r="L169" s="12"/>
      <c r="M169" s="12"/>
      <c r="N169" s="12"/>
      <c r="O169" s="12" t="s">
        <v>10</v>
      </c>
      <c r="P169" s="12">
        <v>5</v>
      </c>
    </row>
    <row r="170" spans="2:16" x14ac:dyDescent="0.3">
      <c r="B170" s="12" t="s">
        <v>50</v>
      </c>
      <c r="C170" s="12"/>
      <c r="D170" s="12"/>
      <c r="E170" s="12"/>
      <c r="F170" s="12" t="s">
        <v>10</v>
      </c>
      <c r="G170" s="12"/>
      <c r="H170" s="12"/>
      <c r="I170" s="12"/>
      <c r="J170" s="12"/>
      <c r="K170" s="12" t="s">
        <v>10</v>
      </c>
      <c r="L170" s="12"/>
      <c r="M170" s="12"/>
      <c r="N170" s="12"/>
      <c r="O170" s="12"/>
      <c r="P170" s="12">
        <v>2</v>
      </c>
    </row>
    <row r="171" spans="2:16" x14ac:dyDescent="0.3">
      <c r="B171" s="12" t="s">
        <v>51</v>
      </c>
      <c r="C171" s="12"/>
      <c r="D171" s="12" t="s">
        <v>10</v>
      </c>
      <c r="E171" s="12"/>
      <c r="F171" s="12"/>
      <c r="G171" s="12" t="s">
        <v>10</v>
      </c>
      <c r="H171" s="12"/>
      <c r="I171" s="12" t="s">
        <v>10</v>
      </c>
      <c r="J171" s="12"/>
      <c r="K171" s="12"/>
      <c r="L171" s="12"/>
      <c r="M171" s="12" t="s">
        <v>10</v>
      </c>
      <c r="N171" s="12"/>
      <c r="O171" s="12"/>
      <c r="P171" s="12">
        <v>4</v>
      </c>
    </row>
    <row r="172" spans="2:16" x14ac:dyDescent="0.3">
      <c r="B172" s="12" t="s">
        <v>52</v>
      </c>
      <c r="C172" s="12" t="s">
        <v>10</v>
      </c>
      <c r="D172" s="12"/>
      <c r="E172" s="12" t="s">
        <v>10</v>
      </c>
      <c r="F172" s="12" t="s">
        <v>10</v>
      </c>
      <c r="G172" s="12"/>
      <c r="H172" s="12"/>
      <c r="I172" s="12"/>
      <c r="J172" s="12" t="s">
        <v>10</v>
      </c>
      <c r="K172" s="12"/>
      <c r="L172" s="12"/>
      <c r="M172" s="12" t="s">
        <v>10</v>
      </c>
      <c r="N172" s="12"/>
      <c r="O172" s="12"/>
      <c r="P172" s="12">
        <v>5</v>
      </c>
    </row>
    <row r="173" spans="2:16" x14ac:dyDescent="0.3">
      <c r="B173" s="12" t="s">
        <v>53</v>
      </c>
      <c r="C173" s="12"/>
      <c r="D173" s="12"/>
      <c r="E173" s="12"/>
      <c r="F173" s="12"/>
      <c r="G173" s="12" t="s">
        <v>10</v>
      </c>
      <c r="H173" s="12"/>
      <c r="I173" s="12"/>
      <c r="J173" s="12"/>
      <c r="K173" s="12" t="s">
        <v>10</v>
      </c>
      <c r="L173" s="12"/>
      <c r="M173" s="12"/>
      <c r="N173" s="12" t="s">
        <v>10</v>
      </c>
      <c r="O173" s="12"/>
      <c r="P173" s="12">
        <v>3</v>
      </c>
    </row>
    <row r="174" spans="2:16" x14ac:dyDescent="0.3">
      <c r="B174" s="12" t="s">
        <v>6</v>
      </c>
      <c r="C174" s="12" t="s">
        <v>10</v>
      </c>
      <c r="D174" s="12"/>
      <c r="E174" s="12" t="s">
        <v>10</v>
      </c>
      <c r="F174" s="12"/>
      <c r="G174" s="12" t="s">
        <v>10</v>
      </c>
      <c r="H174" s="12"/>
      <c r="I174" s="12" t="s">
        <v>10</v>
      </c>
      <c r="J174" s="12"/>
      <c r="K174" s="12" t="s">
        <v>10</v>
      </c>
      <c r="L174" s="12"/>
      <c r="M174" s="12"/>
      <c r="N174" s="12"/>
      <c r="O174" s="12">
        <v>5</v>
      </c>
      <c r="P174" s="12"/>
    </row>
    <row r="175" spans="2:16" x14ac:dyDescent="0.3">
      <c r="B175" s="12" t="s">
        <v>29</v>
      </c>
      <c r="C175" s="12"/>
      <c r="D175" s="12" t="s">
        <v>10</v>
      </c>
      <c r="E175" s="12"/>
      <c r="F175" s="12"/>
      <c r="G175" s="12"/>
      <c r="H175" s="12" t="s">
        <v>10</v>
      </c>
      <c r="I175" s="12"/>
      <c r="J175" s="12"/>
      <c r="K175" s="12" t="s">
        <v>10</v>
      </c>
      <c r="L175" s="12"/>
      <c r="M175" s="12"/>
      <c r="N175" s="12"/>
      <c r="O175" s="12"/>
      <c r="P175" s="12">
        <v>3</v>
      </c>
    </row>
    <row r="176" spans="2:16" x14ac:dyDescent="0.3">
      <c r="B176" s="12" t="s">
        <v>54</v>
      </c>
      <c r="C176" s="12" t="s">
        <v>10</v>
      </c>
      <c r="D176" s="12"/>
      <c r="E176" s="12"/>
      <c r="F176" s="12" t="s">
        <v>10</v>
      </c>
      <c r="G176" s="12"/>
      <c r="H176" s="12" t="s">
        <v>10</v>
      </c>
      <c r="I176" s="12"/>
      <c r="J176" s="12" t="s">
        <v>10</v>
      </c>
      <c r="K176" s="12"/>
      <c r="L176" s="12" t="s">
        <v>10</v>
      </c>
      <c r="M176" s="12"/>
      <c r="N176" s="12"/>
      <c r="O176" s="12"/>
      <c r="P176" s="12">
        <v>5</v>
      </c>
    </row>
    <row r="177" spans="2:16" x14ac:dyDescent="0.3">
      <c r="B177" s="12" t="s">
        <v>32</v>
      </c>
      <c r="C177" s="12"/>
      <c r="D177" s="12"/>
      <c r="E177" s="12" t="s">
        <v>10</v>
      </c>
      <c r="F177" s="12"/>
      <c r="G177" s="12"/>
      <c r="H177" s="12" t="s">
        <v>10</v>
      </c>
      <c r="I177" s="12"/>
      <c r="J177" s="12"/>
      <c r="K177" s="12" t="s">
        <v>10</v>
      </c>
      <c r="L177" s="12"/>
      <c r="M177" s="12"/>
      <c r="N177" s="12"/>
      <c r="O177" s="12"/>
      <c r="P177" s="12">
        <v>3</v>
      </c>
    </row>
    <row r="178" spans="2:16" x14ac:dyDescent="0.3">
      <c r="B178" s="12" t="s">
        <v>33</v>
      </c>
      <c r="C178" s="12" t="s">
        <v>10</v>
      </c>
      <c r="D178" s="12"/>
      <c r="E178" s="12" t="s">
        <v>10</v>
      </c>
      <c r="F178" s="12"/>
      <c r="G178" s="12" t="s">
        <v>10</v>
      </c>
      <c r="H178" s="12"/>
      <c r="I178" s="12"/>
      <c r="J178" s="12" t="s">
        <v>10</v>
      </c>
      <c r="K178" s="12"/>
      <c r="L178" s="12" t="s">
        <v>10</v>
      </c>
      <c r="M178" s="12"/>
      <c r="N178" s="12"/>
      <c r="O178" s="12"/>
      <c r="P178" s="12">
        <v>5</v>
      </c>
    </row>
    <row r="179" spans="2:16" x14ac:dyDescent="0.3">
      <c r="B179" s="12" t="s">
        <v>55</v>
      </c>
      <c r="C179" s="12"/>
      <c r="D179" s="12" t="s">
        <v>10</v>
      </c>
      <c r="E179" s="12"/>
      <c r="F179" s="12"/>
      <c r="G179" s="12"/>
      <c r="H179" s="12"/>
      <c r="I179" s="12" t="s">
        <v>10</v>
      </c>
      <c r="J179" s="12"/>
      <c r="K179" s="12"/>
      <c r="L179" s="12" t="s">
        <v>10</v>
      </c>
      <c r="M179" s="12"/>
      <c r="N179" s="12"/>
      <c r="O179" s="12"/>
      <c r="P179" s="12">
        <v>3</v>
      </c>
    </row>
    <row r="180" spans="2:16" x14ac:dyDescent="0.3">
      <c r="B180" s="12" t="s">
        <v>56</v>
      </c>
      <c r="C180" s="12" t="s">
        <v>10</v>
      </c>
      <c r="D180" s="12"/>
      <c r="E180" s="12"/>
      <c r="F180" s="12" t="s">
        <v>10</v>
      </c>
      <c r="G180" s="12"/>
      <c r="H180" s="12"/>
      <c r="I180" s="12"/>
      <c r="J180" s="12" t="s">
        <v>10</v>
      </c>
      <c r="K180" s="12"/>
      <c r="L180" s="12"/>
      <c r="M180" s="12" t="s">
        <v>10</v>
      </c>
      <c r="N180" s="12"/>
      <c r="O180" s="12"/>
      <c r="P180" s="12">
        <v>4</v>
      </c>
    </row>
    <row r="181" spans="2:16" x14ac:dyDescent="0.3">
      <c r="B181" s="12" t="s">
        <v>57</v>
      </c>
      <c r="C181" s="12"/>
      <c r="D181" s="12"/>
      <c r="E181" s="12"/>
      <c r="F181" s="12"/>
      <c r="G181" s="12" t="s">
        <v>10</v>
      </c>
      <c r="H181" s="12"/>
      <c r="I181" s="12"/>
      <c r="J181" s="12"/>
      <c r="K181" s="12"/>
      <c r="L181" s="12"/>
      <c r="M181" s="12" t="s">
        <v>10</v>
      </c>
      <c r="N181" s="12"/>
      <c r="O181" s="12"/>
      <c r="P181" s="12">
        <v>2</v>
      </c>
    </row>
    <row r="182" spans="2:16" x14ac:dyDescent="0.3">
      <c r="B182" s="12" t="s">
        <v>58</v>
      </c>
      <c r="C182" s="12" t="s">
        <v>10</v>
      </c>
      <c r="D182" s="12"/>
      <c r="E182" s="12" t="s">
        <v>10</v>
      </c>
      <c r="F182" s="12"/>
      <c r="G182" s="12"/>
      <c r="H182" s="12" t="s">
        <v>10</v>
      </c>
      <c r="I182" s="12"/>
      <c r="J182" s="12" t="s">
        <v>10</v>
      </c>
      <c r="K182" s="12"/>
      <c r="L182" s="12"/>
      <c r="M182" s="12" t="s">
        <v>10</v>
      </c>
      <c r="N182" s="12"/>
      <c r="O182" s="12"/>
      <c r="P182" s="12">
        <v>5</v>
      </c>
    </row>
    <row r="183" spans="2:16" x14ac:dyDescent="0.3">
      <c r="B183" s="12" t="s">
        <v>31</v>
      </c>
      <c r="C183" s="12"/>
      <c r="D183" s="12" t="s">
        <v>10</v>
      </c>
      <c r="E183" s="12"/>
      <c r="F183" s="12" t="s">
        <v>10</v>
      </c>
      <c r="G183" s="12"/>
      <c r="H183" s="12"/>
      <c r="I183" s="12" t="s">
        <v>10</v>
      </c>
      <c r="J183" s="12"/>
      <c r="K183" s="12" t="s">
        <v>10</v>
      </c>
      <c r="L183" s="12"/>
      <c r="M183" s="12"/>
      <c r="N183" s="12" t="s">
        <v>10</v>
      </c>
      <c r="O183" s="12"/>
      <c r="P183" s="12">
        <v>5</v>
      </c>
    </row>
    <row r="184" spans="2:16" x14ac:dyDescent="0.3">
      <c r="B184" s="12" t="s">
        <v>59</v>
      </c>
      <c r="C184" s="12" t="s">
        <v>10</v>
      </c>
      <c r="D184" s="12"/>
      <c r="E184" s="12"/>
      <c r="F184" s="12"/>
      <c r="G184" s="12"/>
      <c r="H184" s="12" t="s">
        <v>10</v>
      </c>
      <c r="I184" s="12"/>
      <c r="J184" s="12"/>
      <c r="K184" s="12" t="s">
        <v>10</v>
      </c>
      <c r="L184" s="12"/>
      <c r="M184" s="12"/>
      <c r="N184" s="12"/>
      <c r="O184" s="12"/>
      <c r="P184" s="12">
        <v>3</v>
      </c>
    </row>
    <row r="185" spans="2:16" x14ac:dyDescent="0.3">
      <c r="B185" s="12" t="s">
        <v>60</v>
      </c>
      <c r="C185" s="12"/>
      <c r="D185" s="12" t="s">
        <v>10</v>
      </c>
      <c r="E185" s="12" t="s">
        <v>10</v>
      </c>
      <c r="F185" s="12"/>
      <c r="G185" s="12" t="s">
        <v>10</v>
      </c>
      <c r="H185" s="12"/>
      <c r="I185" s="12"/>
      <c r="J185" s="12"/>
      <c r="K185" s="12" t="s">
        <v>10</v>
      </c>
      <c r="L185" s="12"/>
      <c r="M185" s="12"/>
      <c r="N185" s="12"/>
      <c r="O185" s="12"/>
      <c r="P185" s="12">
        <v>4</v>
      </c>
    </row>
    <row r="186" spans="2:16" x14ac:dyDescent="0.3">
      <c r="B186" s="12" t="s">
        <v>7</v>
      </c>
      <c r="C186" s="12" t="s">
        <v>10</v>
      </c>
      <c r="D186" s="12"/>
      <c r="E186" s="12"/>
      <c r="F186" s="12" t="s">
        <v>10</v>
      </c>
      <c r="G186" s="12"/>
      <c r="H186" s="12" t="s">
        <v>10</v>
      </c>
      <c r="I186" s="12"/>
      <c r="J186" s="12"/>
      <c r="K186" s="12"/>
      <c r="L186" s="12" t="s">
        <v>10</v>
      </c>
      <c r="M186" s="12"/>
      <c r="N186" s="12"/>
      <c r="O186" s="12"/>
      <c r="P186" s="12">
        <v>4</v>
      </c>
    </row>
    <row r="187" spans="2:16" x14ac:dyDescent="0.3">
      <c r="B187" s="12" t="s">
        <v>61</v>
      </c>
      <c r="C187" s="12"/>
      <c r="D187" s="12" t="s">
        <v>10</v>
      </c>
      <c r="E187" s="12"/>
      <c r="F187" s="12"/>
      <c r="G187" s="12" t="s">
        <v>10</v>
      </c>
      <c r="H187" s="12"/>
      <c r="I187" s="12" t="s">
        <v>10</v>
      </c>
      <c r="J187" s="12"/>
      <c r="K187" s="12"/>
      <c r="L187" s="12"/>
      <c r="M187" s="12" t="s">
        <v>10</v>
      </c>
      <c r="N187" s="12"/>
      <c r="O187" s="12"/>
      <c r="P187" s="12">
        <v>4</v>
      </c>
    </row>
    <row r="188" spans="2:16" x14ac:dyDescent="0.3">
      <c r="B188" s="12" t="s">
        <v>62</v>
      </c>
      <c r="C188" s="12"/>
      <c r="D188" s="12"/>
      <c r="E188" s="12"/>
      <c r="F188" s="12" t="s">
        <v>10</v>
      </c>
      <c r="G188" s="12"/>
      <c r="H188" s="12"/>
      <c r="I188" s="12"/>
      <c r="J188" s="12" t="s">
        <v>10</v>
      </c>
      <c r="K188" s="12"/>
      <c r="L188" s="12"/>
      <c r="M188" s="12" t="s">
        <v>10</v>
      </c>
      <c r="N188" s="12"/>
      <c r="O188" s="12"/>
      <c r="P188" s="12">
        <v>3</v>
      </c>
    </row>
    <row r="189" spans="2:16" x14ac:dyDescent="0.3">
      <c r="B189" s="12" t="s">
        <v>63</v>
      </c>
      <c r="C189" s="12" t="s">
        <v>10</v>
      </c>
      <c r="D189" s="12"/>
      <c r="E189" s="12" t="s">
        <v>10</v>
      </c>
      <c r="F189" s="12"/>
      <c r="G189" s="12" t="s">
        <v>10</v>
      </c>
      <c r="H189" s="12"/>
      <c r="I189" s="12"/>
      <c r="J189" s="12" t="s">
        <v>10</v>
      </c>
      <c r="K189" s="12"/>
      <c r="L189" s="12" t="s">
        <v>10</v>
      </c>
      <c r="M189" s="12"/>
      <c r="N189" s="12"/>
      <c r="O189" s="12"/>
      <c r="P189" s="12">
        <v>5</v>
      </c>
    </row>
    <row r="190" spans="2:16" x14ac:dyDescent="0.3">
      <c r="B190" s="12" t="s">
        <v>64</v>
      </c>
      <c r="C190" s="12"/>
      <c r="D190" s="12" t="s">
        <v>10</v>
      </c>
      <c r="E190" s="12"/>
      <c r="F190" s="12" t="s">
        <v>10</v>
      </c>
      <c r="G190" s="12"/>
      <c r="H190" s="12"/>
      <c r="I190" s="12" t="s">
        <v>10</v>
      </c>
      <c r="J190" s="12"/>
      <c r="K190" s="12" t="s">
        <v>10</v>
      </c>
      <c r="L190" s="12"/>
      <c r="M190" s="12"/>
      <c r="N190" s="12"/>
      <c r="O190" s="12"/>
      <c r="P190" s="12">
        <v>4</v>
      </c>
    </row>
    <row r="191" spans="2:16" x14ac:dyDescent="0.3">
      <c r="B191" s="12" t="s">
        <v>65</v>
      </c>
      <c r="C191" s="12" t="s">
        <v>10</v>
      </c>
      <c r="D191" s="12"/>
      <c r="E191" s="12"/>
      <c r="F191" s="12" t="s">
        <v>10</v>
      </c>
      <c r="G191" s="12"/>
      <c r="H191" s="12"/>
      <c r="I191" s="12"/>
      <c r="J191" s="12" t="s">
        <v>10</v>
      </c>
      <c r="K191" s="12"/>
      <c r="L191" s="12"/>
      <c r="M191" s="12" t="s">
        <v>10</v>
      </c>
      <c r="N191" s="12"/>
      <c r="O191" s="12"/>
      <c r="P191" s="12">
        <v>4</v>
      </c>
    </row>
    <row r="192" spans="2:16" x14ac:dyDescent="0.3">
      <c r="B192" s="13" t="s">
        <v>11</v>
      </c>
      <c r="C192" s="13">
        <v>15</v>
      </c>
      <c r="D192" s="13">
        <v>12</v>
      </c>
      <c r="E192" s="13">
        <v>13</v>
      </c>
      <c r="F192" s="13">
        <v>14</v>
      </c>
      <c r="G192" s="13">
        <v>13</v>
      </c>
      <c r="H192" s="13">
        <v>12</v>
      </c>
      <c r="I192" s="13">
        <v>13</v>
      </c>
      <c r="J192" s="13">
        <v>13</v>
      </c>
      <c r="K192" s="13">
        <v>13</v>
      </c>
      <c r="L192" s="13">
        <v>11</v>
      </c>
      <c r="M192" s="13">
        <v>13</v>
      </c>
      <c r="N192" s="13">
        <v>7</v>
      </c>
      <c r="O192" s="13">
        <v>0</v>
      </c>
      <c r="P192" s="13">
        <v>159</v>
      </c>
    </row>
    <row r="195" spans="2:16" x14ac:dyDescent="0.3">
      <c r="B195" s="32" t="s">
        <v>12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2:16" x14ac:dyDescent="0.3">
      <c r="B196" s="1" t="s">
        <v>0</v>
      </c>
      <c r="C196" s="4">
        <v>45717</v>
      </c>
      <c r="D196" s="4">
        <v>45748</v>
      </c>
      <c r="E196" s="4">
        <v>45778</v>
      </c>
      <c r="F196" s="4">
        <v>45809</v>
      </c>
      <c r="G196" s="4">
        <v>45839</v>
      </c>
      <c r="H196" s="4">
        <v>45870</v>
      </c>
      <c r="I196" s="4">
        <v>45901</v>
      </c>
      <c r="J196" s="4">
        <v>45931</v>
      </c>
      <c r="K196" s="4">
        <v>45962</v>
      </c>
      <c r="L196" s="4">
        <v>45992</v>
      </c>
      <c r="M196" s="4">
        <v>46023</v>
      </c>
      <c r="N196" s="4">
        <v>46054</v>
      </c>
      <c r="O196" s="4">
        <v>46082</v>
      </c>
      <c r="P196" s="1" t="s">
        <v>9</v>
      </c>
    </row>
    <row r="197" spans="2:16" x14ac:dyDescent="0.3">
      <c r="B197" s="12" t="s">
        <v>41</v>
      </c>
      <c r="C197" s="12"/>
      <c r="D197" s="12"/>
      <c r="E197" s="12"/>
      <c r="F197" s="12"/>
      <c r="G197" s="12" t="s">
        <v>10</v>
      </c>
      <c r="H197" s="12"/>
      <c r="I197" s="12" t="s">
        <v>10</v>
      </c>
      <c r="J197" s="12"/>
      <c r="K197" s="12" t="s">
        <v>10</v>
      </c>
      <c r="L197" s="12"/>
      <c r="M197" s="12" t="s">
        <v>10</v>
      </c>
      <c r="N197" s="12"/>
      <c r="O197" s="12"/>
      <c r="P197" s="12">
        <v>4</v>
      </c>
    </row>
    <row r="198" spans="2:16" x14ac:dyDescent="0.3">
      <c r="B198" s="12" t="s">
        <v>2</v>
      </c>
      <c r="C198" s="12" t="s">
        <v>10</v>
      </c>
      <c r="D198" s="12"/>
      <c r="E198" s="12" t="s">
        <v>10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2</v>
      </c>
    </row>
    <row r="199" spans="2:16" x14ac:dyDescent="0.3">
      <c r="B199" s="12" t="s">
        <v>42</v>
      </c>
      <c r="C199" s="12"/>
      <c r="D199" s="12" t="s">
        <v>10</v>
      </c>
      <c r="E199" s="12"/>
      <c r="F199" s="12" t="s">
        <v>10</v>
      </c>
      <c r="G199" s="12"/>
      <c r="H199" s="12"/>
      <c r="I199" s="12"/>
      <c r="J199" s="12" t="s">
        <v>10</v>
      </c>
      <c r="K199" s="12"/>
      <c r="L199" s="12"/>
      <c r="M199" s="12"/>
      <c r="N199" s="12"/>
      <c r="O199" s="12"/>
      <c r="P199" s="12">
        <v>3</v>
      </c>
    </row>
    <row r="200" spans="2:16" x14ac:dyDescent="0.3">
      <c r="B200" s="12" t="s">
        <v>43</v>
      </c>
      <c r="C200" s="12" t="s">
        <v>10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1</v>
      </c>
    </row>
    <row r="201" spans="2:16" x14ac:dyDescent="0.3">
      <c r="B201" s="12" t="s">
        <v>4</v>
      </c>
      <c r="C201" s="12"/>
      <c r="D201" s="12"/>
      <c r="E201" s="12" t="s">
        <v>10</v>
      </c>
      <c r="F201" s="12"/>
      <c r="G201" s="12"/>
      <c r="H201" s="12"/>
      <c r="I201" s="12" t="s">
        <v>10</v>
      </c>
      <c r="J201" s="12"/>
      <c r="K201" s="12"/>
      <c r="L201" s="12"/>
      <c r="M201" s="12"/>
      <c r="N201" s="12"/>
      <c r="O201" s="12"/>
      <c r="P201" s="12">
        <v>2</v>
      </c>
    </row>
    <row r="202" spans="2:16" x14ac:dyDescent="0.3">
      <c r="B202" s="12" t="s">
        <v>44</v>
      </c>
      <c r="C202" s="12" t="s">
        <v>10</v>
      </c>
      <c r="D202" s="12"/>
      <c r="E202" s="12"/>
      <c r="F202" s="12" t="s">
        <v>10</v>
      </c>
      <c r="G202" s="12"/>
      <c r="H202" s="12"/>
      <c r="I202" s="12" t="s">
        <v>10</v>
      </c>
      <c r="J202" s="12"/>
      <c r="K202" s="12"/>
      <c r="L202" s="12" t="s">
        <v>10</v>
      </c>
      <c r="M202" s="12"/>
      <c r="N202" s="12" t="s">
        <v>10</v>
      </c>
      <c r="O202" s="12"/>
      <c r="P202" s="12">
        <v>5</v>
      </c>
    </row>
    <row r="203" spans="2:16" x14ac:dyDescent="0.3">
      <c r="B203" s="12" t="s">
        <v>45</v>
      </c>
      <c r="C203" s="12" t="s">
        <v>10</v>
      </c>
      <c r="D203" s="12" t="s">
        <v>10</v>
      </c>
      <c r="E203" s="12" t="s">
        <v>10</v>
      </c>
      <c r="F203" s="12" t="s">
        <v>10</v>
      </c>
      <c r="G203" s="12" t="s">
        <v>10</v>
      </c>
      <c r="H203" s="12" t="s">
        <v>10</v>
      </c>
      <c r="I203" s="12"/>
      <c r="J203" s="12"/>
      <c r="K203" s="12"/>
      <c r="L203" s="12"/>
      <c r="M203" s="12"/>
      <c r="N203" s="12"/>
      <c r="O203" s="12"/>
      <c r="P203" s="12">
        <v>6</v>
      </c>
    </row>
    <row r="204" spans="2:16" x14ac:dyDescent="0.3">
      <c r="B204" s="12" t="s">
        <v>46</v>
      </c>
      <c r="C204" s="12"/>
      <c r="D204" s="12" t="s">
        <v>10</v>
      </c>
      <c r="E204" s="12"/>
      <c r="F204" s="12"/>
      <c r="G204" s="12" t="s">
        <v>10</v>
      </c>
      <c r="H204" s="12"/>
      <c r="I204" s="12"/>
      <c r="J204" s="12" t="s">
        <v>10</v>
      </c>
      <c r="K204" s="12"/>
      <c r="L204" s="12"/>
      <c r="M204" s="12" t="s">
        <v>10</v>
      </c>
      <c r="N204" s="12"/>
      <c r="O204" s="12"/>
      <c r="P204" s="12">
        <v>4</v>
      </c>
    </row>
    <row r="205" spans="2:16" x14ac:dyDescent="0.3">
      <c r="B205" s="12" t="s">
        <v>47</v>
      </c>
      <c r="C205" s="12"/>
      <c r="D205" s="12"/>
      <c r="E205" s="12" t="s">
        <v>10</v>
      </c>
      <c r="F205" s="12"/>
      <c r="G205" s="12"/>
      <c r="H205" s="12"/>
      <c r="I205" s="12" t="s">
        <v>10</v>
      </c>
      <c r="J205" s="12"/>
      <c r="K205" s="12"/>
      <c r="L205" s="12"/>
      <c r="M205" s="12"/>
      <c r="N205" s="12" t="s">
        <v>10</v>
      </c>
      <c r="O205" s="12"/>
      <c r="P205" s="12">
        <v>3</v>
      </c>
    </row>
    <row r="206" spans="2:16" x14ac:dyDescent="0.3">
      <c r="B206" s="12" t="s">
        <v>48</v>
      </c>
      <c r="C206" s="12" t="s">
        <v>10</v>
      </c>
      <c r="D206" s="12"/>
      <c r="E206" s="12"/>
      <c r="F206" s="12"/>
      <c r="G206" s="12"/>
      <c r="H206" s="12" t="s">
        <v>10</v>
      </c>
      <c r="I206" s="12"/>
      <c r="J206" s="12"/>
      <c r="K206" s="12"/>
      <c r="L206" s="12"/>
      <c r="M206" s="12"/>
      <c r="N206" s="12"/>
      <c r="O206" s="12"/>
      <c r="P206" s="12">
        <v>2</v>
      </c>
    </row>
    <row r="207" spans="2:16" x14ac:dyDescent="0.3">
      <c r="B207" s="12" t="s">
        <v>5</v>
      </c>
      <c r="C207" s="12"/>
      <c r="D207" s="12" t="s">
        <v>10</v>
      </c>
      <c r="E207" s="12"/>
      <c r="F207" s="12" t="s">
        <v>10</v>
      </c>
      <c r="G207" s="12"/>
      <c r="H207" s="12"/>
      <c r="I207" s="12" t="s">
        <v>10</v>
      </c>
      <c r="J207" s="12"/>
      <c r="K207" s="12"/>
      <c r="L207" s="12" t="s">
        <v>10</v>
      </c>
      <c r="M207" s="12"/>
      <c r="N207" s="12"/>
      <c r="O207" s="12"/>
      <c r="P207" s="12">
        <v>4</v>
      </c>
    </row>
    <row r="208" spans="2:16" x14ac:dyDescent="0.3">
      <c r="B208" s="12" t="s">
        <v>49</v>
      </c>
      <c r="C208" s="12" t="s">
        <v>10</v>
      </c>
      <c r="D208" s="12"/>
      <c r="E208" s="12" t="s">
        <v>10</v>
      </c>
      <c r="F208" s="12"/>
      <c r="G208" s="12" t="s">
        <v>10</v>
      </c>
      <c r="H208" s="12"/>
      <c r="I208" s="12"/>
      <c r="J208" s="12"/>
      <c r="K208" s="12" t="s">
        <v>10</v>
      </c>
      <c r="L208" s="12"/>
      <c r="M208" s="12"/>
      <c r="N208" s="12"/>
      <c r="O208" s="12" t="s">
        <v>10</v>
      </c>
      <c r="P208" s="12">
        <v>5</v>
      </c>
    </row>
    <row r="209" spans="2:16" x14ac:dyDescent="0.3">
      <c r="B209" s="12" t="s">
        <v>50</v>
      </c>
      <c r="C209" s="12"/>
      <c r="D209" s="12"/>
      <c r="E209" s="12"/>
      <c r="F209" s="12" t="s">
        <v>10</v>
      </c>
      <c r="G209" s="12"/>
      <c r="H209" s="12"/>
      <c r="I209" s="12"/>
      <c r="J209" s="12"/>
      <c r="K209" s="12" t="s">
        <v>10</v>
      </c>
      <c r="L209" s="12"/>
      <c r="M209" s="12"/>
      <c r="N209" s="12"/>
      <c r="O209" s="12"/>
      <c r="P209" s="12">
        <v>2</v>
      </c>
    </row>
    <row r="210" spans="2:16" x14ac:dyDescent="0.3">
      <c r="B210" s="12" t="s">
        <v>51</v>
      </c>
      <c r="C210" s="12"/>
      <c r="D210" s="12" t="s">
        <v>10</v>
      </c>
      <c r="E210" s="12"/>
      <c r="F210" s="12"/>
      <c r="G210" s="12" t="s">
        <v>10</v>
      </c>
      <c r="H210" s="12"/>
      <c r="I210" s="12" t="s">
        <v>10</v>
      </c>
      <c r="J210" s="12"/>
      <c r="K210" s="12"/>
      <c r="L210" s="12"/>
      <c r="M210" s="12" t="s">
        <v>10</v>
      </c>
      <c r="N210" s="12"/>
      <c r="O210" s="12"/>
      <c r="P210" s="12">
        <v>4</v>
      </c>
    </row>
    <row r="211" spans="2:16" x14ac:dyDescent="0.3">
      <c r="B211" s="12" t="s">
        <v>52</v>
      </c>
      <c r="C211" s="12" t="s">
        <v>10</v>
      </c>
      <c r="D211" s="12"/>
      <c r="E211" s="12" t="s">
        <v>10</v>
      </c>
      <c r="F211" s="12" t="s">
        <v>10</v>
      </c>
      <c r="G211" s="12"/>
      <c r="H211" s="12"/>
      <c r="I211" s="12"/>
      <c r="J211" s="12" t="s">
        <v>10</v>
      </c>
      <c r="K211" s="12"/>
      <c r="L211" s="12"/>
      <c r="M211" s="12" t="s">
        <v>10</v>
      </c>
      <c r="N211" s="12"/>
      <c r="O211" s="12"/>
      <c r="P211" s="12">
        <v>5</v>
      </c>
    </row>
    <row r="212" spans="2:16" x14ac:dyDescent="0.3">
      <c r="B212" s="12" t="s">
        <v>53</v>
      </c>
      <c r="C212" s="12"/>
      <c r="D212" s="12"/>
      <c r="E212" s="12"/>
      <c r="F212" s="12"/>
      <c r="G212" s="12" t="s">
        <v>10</v>
      </c>
      <c r="H212" s="12"/>
      <c r="I212" s="12"/>
      <c r="J212" s="12"/>
      <c r="K212" s="12" t="s">
        <v>10</v>
      </c>
      <c r="L212" s="12"/>
      <c r="M212" s="12"/>
      <c r="N212" s="12" t="s">
        <v>10</v>
      </c>
      <c r="O212" s="12"/>
      <c r="P212" s="12">
        <v>3</v>
      </c>
    </row>
    <row r="213" spans="2:16" x14ac:dyDescent="0.3">
      <c r="B213" s="12" t="s">
        <v>6</v>
      </c>
      <c r="C213" s="12" t="s">
        <v>10</v>
      </c>
      <c r="D213" s="12"/>
      <c r="E213" s="12" t="s">
        <v>10</v>
      </c>
      <c r="F213" s="12"/>
      <c r="G213" s="12" t="s">
        <v>10</v>
      </c>
      <c r="H213" s="12"/>
      <c r="I213" s="12" t="s">
        <v>10</v>
      </c>
      <c r="J213" s="12"/>
      <c r="K213" s="12" t="s">
        <v>10</v>
      </c>
      <c r="L213" s="12"/>
      <c r="M213" s="12"/>
      <c r="N213" s="12"/>
      <c r="O213" s="12"/>
      <c r="P213" s="12">
        <v>5</v>
      </c>
    </row>
    <row r="214" spans="2:16" x14ac:dyDescent="0.3">
      <c r="B214" s="12" t="s">
        <v>29</v>
      </c>
      <c r="C214" s="12"/>
      <c r="D214" s="12" t="s">
        <v>10</v>
      </c>
      <c r="E214" s="12"/>
      <c r="F214" s="12"/>
      <c r="G214" s="12"/>
      <c r="H214" s="12" t="s">
        <v>10</v>
      </c>
      <c r="I214" s="12"/>
      <c r="J214" s="12"/>
      <c r="K214" s="12" t="s">
        <v>10</v>
      </c>
      <c r="L214" s="12"/>
      <c r="M214" s="12"/>
      <c r="N214" s="12"/>
      <c r="O214" s="12"/>
      <c r="P214" s="12">
        <v>3</v>
      </c>
    </row>
    <row r="215" spans="2:16" x14ac:dyDescent="0.3">
      <c r="B215" s="12" t="s">
        <v>54</v>
      </c>
      <c r="C215" s="12" t="s">
        <v>10</v>
      </c>
      <c r="D215" s="12"/>
      <c r="E215" s="12"/>
      <c r="F215" s="12" t="s">
        <v>10</v>
      </c>
      <c r="G215" s="12"/>
      <c r="H215" s="12" t="s">
        <v>10</v>
      </c>
      <c r="I215" s="12"/>
      <c r="J215" s="12" t="s">
        <v>10</v>
      </c>
      <c r="K215" s="12"/>
      <c r="L215" s="12" t="s">
        <v>10</v>
      </c>
      <c r="M215" s="12"/>
      <c r="N215" s="12"/>
      <c r="O215" s="12"/>
      <c r="P215" s="12">
        <v>5</v>
      </c>
    </row>
    <row r="216" spans="2:16" x14ac:dyDescent="0.3">
      <c r="B216" s="12" t="s">
        <v>32</v>
      </c>
      <c r="C216" s="12"/>
      <c r="D216" s="12"/>
      <c r="E216" s="12" t="s">
        <v>10</v>
      </c>
      <c r="F216" s="12"/>
      <c r="G216" s="12"/>
      <c r="H216" s="12" t="s">
        <v>10</v>
      </c>
      <c r="I216" s="12"/>
      <c r="J216" s="12"/>
      <c r="K216" s="12" t="s">
        <v>10</v>
      </c>
      <c r="L216" s="12"/>
      <c r="M216" s="12"/>
      <c r="N216" s="12"/>
      <c r="O216" s="12"/>
      <c r="P216" s="12">
        <v>3</v>
      </c>
    </row>
    <row r="217" spans="2:16" x14ac:dyDescent="0.3">
      <c r="B217" s="12" t="s">
        <v>33</v>
      </c>
      <c r="C217" s="12" t="s">
        <v>10</v>
      </c>
      <c r="D217" s="12"/>
      <c r="E217" s="12" t="s">
        <v>10</v>
      </c>
      <c r="F217" s="12"/>
      <c r="G217" s="12" t="s">
        <v>10</v>
      </c>
      <c r="H217" s="12"/>
      <c r="I217" s="12"/>
      <c r="J217" s="12" t="s">
        <v>10</v>
      </c>
      <c r="K217" s="12"/>
      <c r="L217" s="12" t="s">
        <v>10</v>
      </c>
      <c r="M217" s="12"/>
      <c r="N217" s="12"/>
      <c r="O217" s="12"/>
      <c r="P217" s="12">
        <v>5</v>
      </c>
    </row>
    <row r="218" spans="2:16" x14ac:dyDescent="0.3">
      <c r="B218" s="12" t="s">
        <v>55</v>
      </c>
      <c r="C218" s="12"/>
      <c r="D218" s="12" t="s">
        <v>10</v>
      </c>
      <c r="E218" s="12"/>
      <c r="F218" s="12"/>
      <c r="G218" s="12"/>
      <c r="H218" s="12"/>
      <c r="I218" s="12" t="s">
        <v>10</v>
      </c>
      <c r="J218" s="12"/>
      <c r="K218" s="12"/>
      <c r="L218" s="12" t="s">
        <v>10</v>
      </c>
      <c r="M218" s="12"/>
      <c r="N218" s="12"/>
      <c r="O218" s="12"/>
      <c r="P218" s="12">
        <v>3</v>
      </c>
    </row>
    <row r="219" spans="2:16" x14ac:dyDescent="0.3">
      <c r="B219" s="12" t="s">
        <v>56</v>
      </c>
      <c r="C219" s="12" t="s">
        <v>10</v>
      </c>
      <c r="D219" s="12"/>
      <c r="E219" s="12"/>
      <c r="F219" s="12" t="s">
        <v>10</v>
      </c>
      <c r="G219" s="12"/>
      <c r="H219" s="12"/>
      <c r="I219" s="12"/>
      <c r="J219" s="12" t="s">
        <v>10</v>
      </c>
      <c r="K219" s="12"/>
      <c r="L219" s="12"/>
      <c r="M219" s="12" t="s">
        <v>10</v>
      </c>
      <c r="N219" s="12"/>
      <c r="O219" s="12"/>
      <c r="P219" s="12">
        <v>4</v>
      </c>
    </row>
    <row r="220" spans="2:16" x14ac:dyDescent="0.3">
      <c r="B220" s="12" t="s">
        <v>57</v>
      </c>
      <c r="C220" s="12"/>
      <c r="D220" s="12"/>
      <c r="E220" s="12"/>
      <c r="F220" s="12"/>
      <c r="G220" s="12" t="s">
        <v>10</v>
      </c>
      <c r="H220" s="12"/>
      <c r="I220" s="12"/>
      <c r="J220" s="12"/>
      <c r="K220" s="12"/>
      <c r="L220" s="12"/>
      <c r="M220" s="12" t="s">
        <v>10</v>
      </c>
      <c r="N220" s="12"/>
      <c r="O220" s="12"/>
      <c r="P220" s="12">
        <v>2</v>
      </c>
    </row>
    <row r="221" spans="2:16" x14ac:dyDescent="0.3">
      <c r="B221" s="12" t="s">
        <v>58</v>
      </c>
      <c r="C221" s="12" t="s">
        <v>10</v>
      </c>
      <c r="D221" s="12"/>
      <c r="E221" s="12" t="s">
        <v>10</v>
      </c>
      <c r="F221" s="12"/>
      <c r="G221" s="12"/>
      <c r="H221" s="12" t="s">
        <v>10</v>
      </c>
      <c r="I221" s="12"/>
      <c r="J221" s="12" t="s">
        <v>10</v>
      </c>
      <c r="K221" s="12"/>
      <c r="L221" s="12"/>
      <c r="M221" s="12" t="s">
        <v>10</v>
      </c>
      <c r="N221" s="12"/>
      <c r="O221" s="12"/>
      <c r="P221" s="12">
        <v>5</v>
      </c>
    </row>
    <row r="222" spans="2:16" x14ac:dyDescent="0.3">
      <c r="B222" s="12" t="s">
        <v>31</v>
      </c>
      <c r="C222" s="12"/>
      <c r="D222" s="12" t="s">
        <v>10</v>
      </c>
      <c r="E222" s="12"/>
      <c r="F222" s="12" t="s">
        <v>10</v>
      </c>
      <c r="G222" s="12"/>
      <c r="H222" s="12"/>
      <c r="I222" s="12" t="s">
        <v>10</v>
      </c>
      <c r="J222" s="12"/>
      <c r="K222" s="12" t="s">
        <v>10</v>
      </c>
      <c r="L222" s="12"/>
      <c r="M222" s="12"/>
      <c r="N222" s="12" t="s">
        <v>10</v>
      </c>
      <c r="O222" s="12"/>
      <c r="P222" s="12">
        <v>5</v>
      </c>
    </row>
    <row r="223" spans="2:16" x14ac:dyDescent="0.3">
      <c r="B223" s="12" t="s">
        <v>59</v>
      </c>
      <c r="C223" s="12" t="s">
        <v>10</v>
      </c>
      <c r="D223" s="12"/>
      <c r="E223" s="12"/>
      <c r="F223" s="12"/>
      <c r="G223" s="12"/>
      <c r="H223" s="12" t="s">
        <v>10</v>
      </c>
      <c r="I223" s="12"/>
      <c r="J223" s="12"/>
      <c r="K223" s="12" t="s">
        <v>10</v>
      </c>
      <c r="L223" s="12"/>
      <c r="M223" s="12"/>
      <c r="N223" s="12"/>
      <c r="O223" s="12"/>
      <c r="P223" s="12">
        <v>3</v>
      </c>
    </row>
    <row r="224" spans="2:16" x14ac:dyDescent="0.3">
      <c r="B224" s="12" t="s">
        <v>60</v>
      </c>
      <c r="C224" s="12"/>
      <c r="D224" s="12" t="s">
        <v>10</v>
      </c>
      <c r="E224" s="12" t="s">
        <v>10</v>
      </c>
      <c r="F224" s="12"/>
      <c r="G224" s="12" t="s">
        <v>10</v>
      </c>
      <c r="H224" s="12"/>
      <c r="I224" s="12"/>
      <c r="J224" s="12"/>
      <c r="K224" s="12" t="s">
        <v>10</v>
      </c>
      <c r="L224" s="12"/>
      <c r="M224" s="12"/>
      <c r="N224" s="12"/>
      <c r="O224" s="12"/>
      <c r="P224" s="12">
        <v>4</v>
      </c>
    </row>
    <row r="225" spans="2:16" x14ac:dyDescent="0.3">
      <c r="B225" s="12" t="s">
        <v>7</v>
      </c>
      <c r="C225" s="12" t="s">
        <v>10</v>
      </c>
      <c r="D225" s="12"/>
      <c r="E225" s="12"/>
      <c r="F225" s="12" t="s">
        <v>10</v>
      </c>
      <c r="G225" s="12"/>
      <c r="H225" s="12" t="s">
        <v>10</v>
      </c>
      <c r="I225" s="12"/>
      <c r="J225" s="12"/>
      <c r="K225" s="12"/>
      <c r="L225" s="12" t="s">
        <v>10</v>
      </c>
      <c r="M225" s="12"/>
      <c r="N225" s="12"/>
      <c r="O225" s="12"/>
      <c r="P225" s="12">
        <v>4</v>
      </c>
    </row>
    <row r="226" spans="2:16" x14ac:dyDescent="0.3">
      <c r="B226" s="12" t="s">
        <v>61</v>
      </c>
      <c r="C226" s="12"/>
      <c r="D226" s="12" t="s">
        <v>10</v>
      </c>
      <c r="E226" s="12"/>
      <c r="F226" s="12"/>
      <c r="G226" s="12" t="s">
        <v>10</v>
      </c>
      <c r="H226" s="12"/>
      <c r="I226" s="12" t="s">
        <v>10</v>
      </c>
      <c r="J226" s="12"/>
      <c r="K226" s="12"/>
      <c r="L226" s="12"/>
      <c r="M226" s="12" t="s">
        <v>10</v>
      </c>
      <c r="N226" s="12"/>
      <c r="O226" s="12"/>
      <c r="P226" s="12">
        <v>4</v>
      </c>
    </row>
    <row r="227" spans="2:16" x14ac:dyDescent="0.3">
      <c r="B227" s="12" t="s">
        <v>62</v>
      </c>
      <c r="C227" s="12"/>
      <c r="D227" s="12"/>
      <c r="E227" s="12"/>
      <c r="F227" s="12" t="s">
        <v>10</v>
      </c>
      <c r="G227" s="12"/>
      <c r="H227" s="12"/>
      <c r="I227" s="12"/>
      <c r="J227" s="12" t="s">
        <v>10</v>
      </c>
      <c r="K227" s="12"/>
      <c r="L227" s="12"/>
      <c r="M227" s="12" t="s">
        <v>10</v>
      </c>
      <c r="N227" s="12"/>
      <c r="O227" s="12"/>
      <c r="P227" s="12">
        <v>3</v>
      </c>
    </row>
    <row r="228" spans="2:16" x14ac:dyDescent="0.3">
      <c r="B228" s="12" t="s">
        <v>63</v>
      </c>
      <c r="C228" s="12" t="s">
        <v>10</v>
      </c>
      <c r="D228" s="12"/>
      <c r="E228" s="12" t="s">
        <v>10</v>
      </c>
      <c r="F228" s="12"/>
      <c r="G228" s="12" t="s">
        <v>10</v>
      </c>
      <c r="H228" s="12"/>
      <c r="I228" s="12"/>
      <c r="J228" s="12" t="s">
        <v>10</v>
      </c>
      <c r="K228" s="12"/>
      <c r="L228" s="12" t="s">
        <v>10</v>
      </c>
      <c r="M228" s="12"/>
      <c r="N228" s="12"/>
      <c r="O228" s="12"/>
      <c r="P228" s="12">
        <v>5</v>
      </c>
    </row>
    <row r="229" spans="2:16" x14ac:dyDescent="0.3">
      <c r="B229" s="12" t="s">
        <v>64</v>
      </c>
      <c r="C229" s="12"/>
      <c r="D229" s="12" t="s">
        <v>10</v>
      </c>
      <c r="E229" s="12"/>
      <c r="F229" s="12" t="s">
        <v>10</v>
      </c>
      <c r="G229" s="12"/>
      <c r="H229" s="12"/>
      <c r="I229" s="12" t="s">
        <v>10</v>
      </c>
      <c r="J229" s="12"/>
      <c r="K229" s="12" t="s">
        <v>10</v>
      </c>
      <c r="L229" s="12"/>
      <c r="M229" s="12"/>
      <c r="N229" s="12"/>
      <c r="O229" s="12"/>
      <c r="P229" s="12">
        <v>4</v>
      </c>
    </row>
    <row r="230" spans="2:16" x14ac:dyDescent="0.3">
      <c r="B230" s="12" t="s">
        <v>65</v>
      </c>
      <c r="C230" s="12" t="s">
        <v>10</v>
      </c>
      <c r="D230" s="12"/>
      <c r="E230" s="12"/>
      <c r="F230" s="12" t="s">
        <v>10</v>
      </c>
      <c r="G230" s="12"/>
      <c r="H230" s="12"/>
      <c r="I230" s="12"/>
      <c r="J230" s="12" t="s">
        <v>10</v>
      </c>
      <c r="K230" s="12"/>
      <c r="L230" s="12"/>
      <c r="M230" s="12" t="s">
        <v>10</v>
      </c>
      <c r="N230" s="12"/>
      <c r="O230" s="12"/>
      <c r="P230" s="12">
        <v>4</v>
      </c>
    </row>
    <row r="231" spans="2:16" x14ac:dyDescent="0.3">
      <c r="B231" s="13" t="s">
        <v>11</v>
      </c>
      <c r="C231" s="13">
        <v>15</v>
      </c>
      <c r="D231" s="13">
        <v>12</v>
      </c>
      <c r="E231" s="13">
        <v>13</v>
      </c>
      <c r="F231" s="13">
        <v>14</v>
      </c>
      <c r="G231" s="13">
        <v>13</v>
      </c>
      <c r="H231" s="13">
        <v>12</v>
      </c>
      <c r="I231" s="13">
        <v>13</v>
      </c>
      <c r="J231" s="13">
        <v>13</v>
      </c>
      <c r="K231" s="13">
        <v>13</v>
      </c>
      <c r="L231" s="13">
        <v>11</v>
      </c>
      <c r="M231" s="13">
        <v>13</v>
      </c>
      <c r="N231" s="13">
        <v>7</v>
      </c>
      <c r="O231" s="13">
        <v>0</v>
      </c>
      <c r="P231" s="13">
        <v>159</v>
      </c>
    </row>
    <row r="233" spans="2:16" x14ac:dyDescent="0.3">
      <c r="B233" s="30" t="s">
        <v>209</v>
      </c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2"/>
    </row>
    <row r="234" spans="2:16" x14ac:dyDescent="0.3">
      <c r="B234" s="1" t="s">
        <v>0</v>
      </c>
      <c r="C234" s="4">
        <v>45717</v>
      </c>
      <c r="D234" s="4">
        <v>45748</v>
      </c>
      <c r="E234" s="4">
        <v>45778</v>
      </c>
      <c r="F234" s="4">
        <v>45809</v>
      </c>
      <c r="G234" s="4">
        <v>45839</v>
      </c>
      <c r="H234" s="4">
        <v>45870</v>
      </c>
      <c r="I234" s="4">
        <v>45901</v>
      </c>
      <c r="J234" s="4">
        <v>45931</v>
      </c>
      <c r="K234" s="4">
        <v>45962</v>
      </c>
      <c r="L234" s="4">
        <v>45992</v>
      </c>
      <c r="M234" s="4">
        <v>46023</v>
      </c>
      <c r="N234" s="4">
        <v>46054</v>
      </c>
      <c r="O234" s="4">
        <v>46082</v>
      </c>
      <c r="P234" s="1" t="s">
        <v>9</v>
      </c>
    </row>
    <row r="235" spans="2:16" x14ac:dyDescent="0.3">
      <c r="B235" s="12" t="s">
        <v>41</v>
      </c>
      <c r="C235" s="12"/>
      <c r="D235" s="12"/>
      <c r="E235" s="12"/>
      <c r="F235" s="12"/>
      <c r="G235" s="12" t="s">
        <v>10</v>
      </c>
      <c r="H235" s="12"/>
      <c r="I235" s="12" t="s">
        <v>10</v>
      </c>
      <c r="J235" s="12"/>
      <c r="K235" s="12" t="s">
        <v>10</v>
      </c>
      <c r="L235" s="12"/>
      <c r="M235" s="12" t="s">
        <v>10</v>
      </c>
      <c r="N235" s="12"/>
      <c r="O235" s="12"/>
      <c r="P235" s="12">
        <v>4</v>
      </c>
    </row>
    <row r="236" spans="2:16" x14ac:dyDescent="0.3">
      <c r="B236" s="12" t="s">
        <v>2</v>
      </c>
      <c r="C236" s="12" t="s">
        <v>10</v>
      </c>
      <c r="D236" s="12"/>
      <c r="E236" s="12" t="s">
        <v>10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2</v>
      </c>
    </row>
    <row r="237" spans="2:16" x14ac:dyDescent="0.3">
      <c r="B237" s="12" t="s">
        <v>42</v>
      </c>
      <c r="C237" s="12"/>
      <c r="D237" s="12" t="s">
        <v>10</v>
      </c>
      <c r="E237" s="12"/>
      <c r="F237" s="12" t="s">
        <v>10</v>
      </c>
      <c r="G237" s="12"/>
      <c r="H237" s="12"/>
      <c r="I237" s="12"/>
      <c r="J237" s="12" t="s">
        <v>10</v>
      </c>
      <c r="K237" s="12"/>
      <c r="L237" s="12"/>
      <c r="M237" s="12"/>
      <c r="N237" s="12"/>
      <c r="O237" s="12"/>
      <c r="P237" s="12">
        <v>3</v>
      </c>
    </row>
    <row r="238" spans="2:16" x14ac:dyDescent="0.3">
      <c r="B238" s="12" t="s">
        <v>43</v>
      </c>
      <c r="C238" s="12" t="s">
        <v>10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1</v>
      </c>
    </row>
    <row r="239" spans="2:16" x14ac:dyDescent="0.3">
      <c r="B239" s="12" t="s">
        <v>4</v>
      </c>
      <c r="C239" s="12"/>
      <c r="D239" s="12"/>
      <c r="E239" s="12" t="s">
        <v>10</v>
      </c>
      <c r="F239" s="12"/>
      <c r="G239" s="12"/>
      <c r="H239" s="12"/>
      <c r="I239" s="12" t="s">
        <v>10</v>
      </c>
      <c r="J239" s="12"/>
      <c r="K239" s="12"/>
      <c r="L239" s="12"/>
      <c r="M239" s="12"/>
      <c r="N239" s="12"/>
      <c r="O239" s="12"/>
      <c r="P239" s="12">
        <v>2</v>
      </c>
    </row>
    <row r="240" spans="2:16" x14ac:dyDescent="0.3">
      <c r="B240" s="12" t="s">
        <v>44</v>
      </c>
      <c r="C240" s="12" t="s">
        <v>10</v>
      </c>
      <c r="D240" s="12"/>
      <c r="E240" s="12"/>
      <c r="F240" s="12" t="s">
        <v>10</v>
      </c>
      <c r="G240" s="12"/>
      <c r="H240" s="12"/>
      <c r="I240" s="12" t="s">
        <v>10</v>
      </c>
      <c r="J240" s="12"/>
      <c r="K240" s="12"/>
      <c r="L240" s="12" t="s">
        <v>10</v>
      </c>
      <c r="M240" s="12"/>
      <c r="N240" s="12" t="s">
        <v>10</v>
      </c>
      <c r="O240" s="12"/>
      <c r="P240" s="12">
        <v>5</v>
      </c>
    </row>
    <row r="241" spans="2:16" x14ac:dyDescent="0.3">
      <c r="B241" s="12" t="s">
        <v>45</v>
      </c>
      <c r="C241" s="12" t="s">
        <v>10</v>
      </c>
      <c r="D241" s="12" t="s">
        <v>10</v>
      </c>
      <c r="E241" s="12" t="s">
        <v>10</v>
      </c>
      <c r="F241" s="12" t="s">
        <v>10</v>
      </c>
      <c r="G241" s="12" t="s">
        <v>10</v>
      </c>
      <c r="H241" s="12" t="s">
        <v>10</v>
      </c>
      <c r="I241" s="12"/>
      <c r="J241" s="12"/>
      <c r="K241" s="12"/>
      <c r="L241" s="12"/>
      <c r="M241" s="12"/>
      <c r="N241" s="12"/>
      <c r="O241" s="12"/>
      <c r="P241" s="12">
        <v>6</v>
      </c>
    </row>
    <row r="242" spans="2:16" x14ac:dyDescent="0.3">
      <c r="B242" s="12" t="s">
        <v>46</v>
      </c>
      <c r="C242" s="12"/>
      <c r="D242" s="12" t="s">
        <v>10</v>
      </c>
      <c r="E242" s="12"/>
      <c r="F242" s="12"/>
      <c r="G242" s="12" t="s">
        <v>10</v>
      </c>
      <c r="H242" s="12"/>
      <c r="I242" s="12"/>
      <c r="J242" s="12" t="s">
        <v>10</v>
      </c>
      <c r="K242" s="12"/>
      <c r="L242" s="12"/>
      <c r="M242" s="12" t="s">
        <v>10</v>
      </c>
      <c r="N242" s="12"/>
      <c r="O242" s="12"/>
      <c r="P242" s="12">
        <v>4</v>
      </c>
    </row>
    <row r="243" spans="2:16" x14ac:dyDescent="0.3">
      <c r="B243" s="12" t="s">
        <v>47</v>
      </c>
      <c r="C243" s="12"/>
      <c r="D243" s="12"/>
      <c r="E243" s="12" t="s">
        <v>10</v>
      </c>
      <c r="F243" s="12"/>
      <c r="G243" s="12"/>
      <c r="H243" s="12"/>
      <c r="I243" s="12" t="s">
        <v>10</v>
      </c>
      <c r="J243" s="12"/>
      <c r="K243" s="12"/>
      <c r="L243" s="12"/>
      <c r="M243" s="12"/>
      <c r="N243" s="12" t="s">
        <v>10</v>
      </c>
      <c r="O243" s="12"/>
      <c r="P243" s="12">
        <v>3</v>
      </c>
    </row>
    <row r="244" spans="2:16" x14ac:dyDescent="0.3">
      <c r="B244" s="12" t="s">
        <v>48</v>
      </c>
      <c r="C244" s="12" t="s">
        <v>10</v>
      </c>
      <c r="D244" s="12"/>
      <c r="E244" s="12"/>
      <c r="F244" s="12"/>
      <c r="G244" s="12"/>
      <c r="H244" s="12" t="s">
        <v>10</v>
      </c>
      <c r="I244" s="12"/>
      <c r="J244" s="12"/>
      <c r="K244" s="12"/>
      <c r="L244" s="12"/>
      <c r="M244" s="12"/>
      <c r="N244" s="12"/>
      <c r="O244" s="12"/>
      <c r="P244" s="12">
        <v>2</v>
      </c>
    </row>
    <row r="245" spans="2:16" x14ac:dyDescent="0.3">
      <c r="B245" s="12" t="s">
        <v>5</v>
      </c>
      <c r="C245" s="12"/>
      <c r="D245" s="12" t="s">
        <v>10</v>
      </c>
      <c r="E245" s="12"/>
      <c r="F245" s="12" t="s">
        <v>10</v>
      </c>
      <c r="G245" s="12"/>
      <c r="H245" s="12"/>
      <c r="I245" s="12" t="s">
        <v>10</v>
      </c>
      <c r="J245" s="12"/>
      <c r="K245" s="12"/>
      <c r="L245" s="12" t="s">
        <v>10</v>
      </c>
      <c r="M245" s="12"/>
      <c r="N245" s="12"/>
      <c r="O245" s="12"/>
      <c r="P245" s="12">
        <v>4</v>
      </c>
    </row>
    <row r="246" spans="2:16" x14ac:dyDescent="0.3">
      <c r="B246" s="12" t="s">
        <v>49</v>
      </c>
      <c r="C246" s="12" t="s">
        <v>10</v>
      </c>
      <c r="D246" s="12"/>
      <c r="E246" s="12" t="s">
        <v>10</v>
      </c>
      <c r="F246" s="12"/>
      <c r="G246" s="12" t="s">
        <v>10</v>
      </c>
      <c r="H246" s="12"/>
      <c r="I246" s="12"/>
      <c r="J246" s="12"/>
      <c r="K246" s="12" t="s">
        <v>10</v>
      </c>
      <c r="L246" s="12"/>
      <c r="M246" s="12"/>
      <c r="N246" s="12"/>
      <c r="O246" s="12" t="s">
        <v>10</v>
      </c>
      <c r="P246" s="12">
        <v>5</v>
      </c>
    </row>
    <row r="247" spans="2:16" x14ac:dyDescent="0.3">
      <c r="B247" s="12" t="s">
        <v>50</v>
      </c>
      <c r="C247" s="12"/>
      <c r="D247" s="12"/>
      <c r="E247" s="12"/>
      <c r="F247" s="12" t="s">
        <v>10</v>
      </c>
      <c r="G247" s="12"/>
      <c r="H247" s="12"/>
      <c r="I247" s="12"/>
      <c r="J247" s="12"/>
      <c r="K247" s="12" t="s">
        <v>10</v>
      </c>
      <c r="L247" s="12"/>
      <c r="M247" s="12"/>
      <c r="N247" s="12"/>
      <c r="O247" s="12"/>
      <c r="P247" s="12">
        <v>2</v>
      </c>
    </row>
    <row r="248" spans="2:16" x14ac:dyDescent="0.3">
      <c r="B248" s="12" t="s">
        <v>51</v>
      </c>
      <c r="C248" s="12"/>
      <c r="D248" s="12" t="s">
        <v>10</v>
      </c>
      <c r="E248" s="12"/>
      <c r="F248" s="12"/>
      <c r="G248" s="12" t="s">
        <v>10</v>
      </c>
      <c r="H248" s="12"/>
      <c r="I248" s="12" t="s">
        <v>10</v>
      </c>
      <c r="J248" s="12"/>
      <c r="K248" s="12"/>
      <c r="L248" s="12"/>
      <c r="M248" s="12" t="s">
        <v>10</v>
      </c>
      <c r="N248" s="12"/>
      <c r="O248" s="12"/>
      <c r="P248" s="12">
        <v>4</v>
      </c>
    </row>
    <row r="249" spans="2:16" x14ac:dyDescent="0.3">
      <c r="B249" s="12" t="s">
        <v>52</v>
      </c>
      <c r="C249" s="12" t="s">
        <v>10</v>
      </c>
      <c r="D249" s="12"/>
      <c r="E249" s="12" t="s">
        <v>10</v>
      </c>
      <c r="F249" s="12" t="s">
        <v>10</v>
      </c>
      <c r="G249" s="12"/>
      <c r="H249" s="12"/>
      <c r="I249" s="12"/>
      <c r="J249" s="12" t="s">
        <v>10</v>
      </c>
      <c r="K249" s="12"/>
      <c r="L249" s="12"/>
      <c r="M249" s="12" t="s">
        <v>10</v>
      </c>
      <c r="N249" s="12"/>
      <c r="O249" s="12"/>
      <c r="P249" s="12">
        <v>5</v>
      </c>
    </row>
    <row r="250" spans="2:16" x14ac:dyDescent="0.3">
      <c r="B250" s="12" t="s">
        <v>53</v>
      </c>
      <c r="C250" s="12"/>
      <c r="D250" s="12"/>
      <c r="E250" s="12"/>
      <c r="F250" s="12"/>
      <c r="G250" s="12" t="s">
        <v>10</v>
      </c>
      <c r="H250" s="12"/>
      <c r="I250" s="12"/>
      <c r="J250" s="12"/>
      <c r="K250" s="12" t="s">
        <v>10</v>
      </c>
      <c r="L250" s="12"/>
      <c r="M250" s="12"/>
      <c r="N250" s="12" t="s">
        <v>10</v>
      </c>
      <c r="O250" s="12"/>
      <c r="P250" s="12">
        <v>3</v>
      </c>
    </row>
    <row r="251" spans="2:16" x14ac:dyDescent="0.3">
      <c r="B251" s="12" t="s">
        <v>6</v>
      </c>
      <c r="C251" s="12" t="s">
        <v>10</v>
      </c>
      <c r="D251" s="12"/>
      <c r="E251" s="12" t="s">
        <v>10</v>
      </c>
      <c r="F251" s="12"/>
      <c r="G251" s="12" t="s">
        <v>10</v>
      </c>
      <c r="H251" s="12"/>
      <c r="I251" s="12" t="s">
        <v>10</v>
      </c>
      <c r="J251" s="12"/>
      <c r="K251" s="12" t="s">
        <v>10</v>
      </c>
      <c r="L251" s="12"/>
      <c r="M251" s="12"/>
      <c r="N251" s="12"/>
      <c r="O251" s="12"/>
      <c r="P251" s="12">
        <v>5</v>
      </c>
    </row>
    <row r="252" spans="2:16" x14ac:dyDescent="0.3">
      <c r="B252" s="12" t="s">
        <v>29</v>
      </c>
      <c r="C252" s="12"/>
      <c r="D252" s="12" t="s">
        <v>10</v>
      </c>
      <c r="E252" s="12"/>
      <c r="F252" s="12"/>
      <c r="G252" s="12"/>
      <c r="H252" s="12" t="s">
        <v>10</v>
      </c>
      <c r="I252" s="12"/>
      <c r="J252" s="12"/>
      <c r="K252" s="12" t="s">
        <v>10</v>
      </c>
      <c r="L252" s="12"/>
      <c r="M252" s="12"/>
      <c r="N252" s="12"/>
      <c r="O252" s="12"/>
      <c r="P252" s="12">
        <v>3</v>
      </c>
    </row>
    <row r="253" spans="2:16" x14ac:dyDescent="0.3">
      <c r="B253" s="12" t="s">
        <v>54</v>
      </c>
      <c r="C253" s="12" t="s">
        <v>10</v>
      </c>
      <c r="D253" s="12"/>
      <c r="E253" s="12"/>
      <c r="F253" s="12" t="s">
        <v>10</v>
      </c>
      <c r="G253" s="12"/>
      <c r="H253" s="12" t="s">
        <v>10</v>
      </c>
      <c r="I253" s="12"/>
      <c r="J253" s="12" t="s">
        <v>10</v>
      </c>
      <c r="K253" s="12"/>
      <c r="L253" s="12" t="s">
        <v>10</v>
      </c>
      <c r="M253" s="12"/>
      <c r="N253" s="12"/>
      <c r="O253" s="12"/>
      <c r="P253" s="12">
        <v>5</v>
      </c>
    </row>
    <row r="254" spans="2:16" x14ac:dyDescent="0.3">
      <c r="B254" s="12" t="s">
        <v>32</v>
      </c>
      <c r="C254" s="12"/>
      <c r="D254" s="12"/>
      <c r="E254" s="12" t="s">
        <v>10</v>
      </c>
      <c r="F254" s="12"/>
      <c r="G254" s="12"/>
      <c r="H254" s="12" t="s">
        <v>10</v>
      </c>
      <c r="I254" s="12"/>
      <c r="J254" s="12"/>
      <c r="K254" s="12" t="s">
        <v>10</v>
      </c>
      <c r="L254" s="12"/>
      <c r="M254" s="12"/>
      <c r="N254" s="12"/>
      <c r="O254" s="12"/>
      <c r="P254" s="12">
        <v>3</v>
      </c>
    </row>
    <row r="255" spans="2:16" x14ac:dyDescent="0.3">
      <c r="B255" s="12" t="s">
        <v>33</v>
      </c>
      <c r="C255" s="12" t="s">
        <v>10</v>
      </c>
      <c r="D255" s="12"/>
      <c r="E255" s="12" t="s">
        <v>10</v>
      </c>
      <c r="F255" s="12"/>
      <c r="G255" s="12" t="s">
        <v>10</v>
      </c>
      <c r="H255" s="12"/>
      <c r="I255" s="12"/>
      <c r="J255" s="12" t="s">
        <v>10</v>
      </c>
      <c r="K255" s="12"/>
      <c r="L255" s="12" t="s">
        <v>10</v>
      </c>
      <c r="M255" s="12"/>
      <c r="N255" s="12"/>
      <c r="O255" s="12"/>
      <c r="P255" s="12">
        <v>5</v>
      </c>
    </row>
    <row r="256" spans="2:16" x14ac:dyDescent="0.3">
      <c r="B256" s="12" t="s">
        <v>55</v>
      </c>
      <c r="C256" s="12"/>
      <c r="D256" s="12" t="s">
        <v>10</v>
      </c>
      <c r="E256" s="12"/>
      <c r="F256" s="12"/>
      <c r="G256" s="12"/>
      <c r="H256" s="12"/>
      <c r="I256" s="12" t="s">
        <v>10</v>
      </c>
      <c r="J256" s="12"/>
      <c r="K256" s="12"/>
      <c r="L256" s="12" t="s">
        <v>10</v>
      </c>
      <c r="M256" s="12"/>
      <c r="N256" s="12"/>
      <c r="O256" s="12"/>
      <c r="P256" s="12">
        <v>3</v>
      </c>
    </row>
    <row r="257" spans="2:16" x14ac:dyDescent="0.3">
      <c r="B257" s="12" t="s">
        <v>56</v>
      </c>
      <c r="C257" s="12" t="s">
        <v>10</v>
      </c>
      <c r="D257" s="12"/>
      <c r="E257" s="12"/>
      <c r="F257" s="12" t="s">
        <v>10</v>
      </c>
      <c r="G257" s="12"/>
      <c r="H257" s="12"/>
      <c r="I257" s="12"/>
      <c r="J257" s="12" t="s">
        <v>10</v>
      </c>
      <c r="K257" s="12"/>
      <c r="L257" s="12"/>
      <c r="M257" s="12" t="s">
        <v>10</v>
      </c>
      <c r="N257" s="12"/>
      <c r="O257" s="12"/>
      <c r="P257" s="12">
        <v>4</v>
      </c>
    </row>
    <row r="258" spans="2:16" x14ac:dyDescent="0.3">
      <c r="B258" s="12" t="s">
        <v>57</v>
      </c>
      <c r="C258" s="12"/>
      <c r="D258" s="12"/>
      <c r="E258" s="12"/>
      <c r="F258" s="12"/>
      <c r="G258" s="12" t="s">
        <v>10</v>
      </c>
      <c r="H258" s="12"/>
      <c r="I258" s="12"/>
      <c r="J258" s="12"/>
      <c r="K258" s="12"/>
      <c r="L258" s="12"/>
      <c r="M258" s="12" t="s">
        <v>10</v>
      </c>
      <c r="N258" s="12"/>
      <c r="O258" s="12"/>
      <c r="P258" s="12">
        <v>2</v>
      </c>
    </row>
    <row r="259" spans="2:16" x14ac:dyDescent="0.3">
      <c r="B259" s="12" t="s">
        <v>58</v>
      </c>
      <c r="C259" s="12" t="s">
        <v>10</v>
      </c>
      <c r="D259" s="12"/>
      <c r="E259" s="12" t="s">
        <v>10</v>
      </c>
      <c r="F259" s="12"/>
      <c r="G259" s="12"/>
      <c r="H259" s="12" t="s">
        <v>10</v>
      </c>
      <c r="I259" s="12"/>
      <c r="J259" s="12" t="s">
        <v>10</v>
      </c>
      <c r="K259" s="12"/>
      <c r="L259" s="12"/>
      <c r="M259" s="12" t="s">
        <v>10</v>
      </c>
      <c r="N259" s="12"/>
      <c r="O259" s="12"/>
      <c r="P259" s="12">
        <v>5</v>
      </c>
    </row>
    <row r="260" spans="2:16" x14ac:dyDescent="0.3">
      <c r="B260" s="12" t="s">
        <v>31</v>
      </c>
      <c r="C260" s="12"/>
      <c r="D260" s="12" t="s">
        <v>10</v>
      </c>
      <c r="E260" s="12"/>
      <c r="F260" s="12" t="s">
        <v>10</v>
      </c>
      <c r="G260" s="12"/>
      <c r="H260" s="12"/>
      <c r="I260" s="12" t="s">
        <v>10</v>
      </c>
      <c r="J260" s="12"/>
      <c r="K260" s="12" t="s">
        <v>10</v>
      </c>
      <c r="L260" s="12"/>
      <c r="M260" s="12"/>
      <c r="N260" s="12" t="s">
        <v>10</v>
      </c>
      <c r="O260" s="12"/>
      <c r="P260" s="12">
        <v>5</v>
      </c>
    </row>
    <row r="261" spans="2:16" x14ac:dyDescent="0.3">
      <c r="B261" s="12" t="s">
        <v>59</v>
      </c>
      <c r="C261" s="12" t="s">
        <v>10</v>
      </c>
      <c r="D261" s="12"/>
      <c r="E261" s="12"/>
      <c r="F261" s="12"/>
      <c r="G261" s="12"/>
      <c r="H261" s="12" t="s">
        <v>10</v>
      </c>
      <c r="I261" s="12"/>
      <c r="J261" s="12"/>
      <c r="K261" s="12" t="s">
        <v>10</v>
      </c>
      <c r="L261" s="12"/>
      <c r="M261" s="12"/>
      <c r="N261" s="12"/>
      <c r="O261" s="12"/>
      <c r="P261" s="12">
        <v>3</v>
      </c>
    </row>
    <row r="262" spans="2:16" x14ac:dyDescent="0.3">
      <c r="B262" s="12" t="s">
        <v>60</v>
      </c>
      <c r="C262" s="12"/>
      <c r="D262" s="12" t="s">
        <v>10</v>
      </c>
      <c r="E262" s="12" t="s">
        <v>10</v>
      </c>
      <c r="F262" s="12"/>
      <c r="G262" s="12" t="s">
        <v>10</v>
      </c>
      <c r="H262" s="12"/>
      <c r="I262" s="12"/>
      <c r="J262" s="12"/>
      <c r="K262" s="12" t="s">
        <v>10</v>
      </c>
      <c r="L262" s="12"/>
      <c r="M262" s="12"/>
      <c r="N262" s="12"/>
      <c r="O262" s="12"/>
      <c r="P262" s="12">
        <v>4</v>
      </c>
    </row>
    <row r="263" spans="2:16" x14ac:dyDescent="0.3">
      <c r="B263" s="12" t="s">
        <v>7</v>
      </c>
      <c r="C263" s="12" t="s">
        <v>10</v>
      </c>
      <c r="D263" s="12"/>
      <c r="E263" s="12"/>
      <c r="F263" s="12" t="s">
        <v>10</v>
      </c>
      <c r="G263" s="12"/>
      <c r="H263" s="12" t="s">
        <v>10</v>
      </c>
      <c r="I263" s="12"/>
      <c r="J263" s="12"/>
      <c r="K263" s="12"/>
      <c r="L263" s="12" t="s">
        <v>10</v>
      </c>
      <c r="M263" s="12"/>
      <c r="N263" s="12"/>
      <c r="O263" s="12"/>
      <c r="P263" s="12">
        <v>4</v>
      </c>
    </row>
    <row r="264" spans="2:16" x14ac:dyDescent="0.3">
      <c r="B264" s="12" t="s">
        <v>61</v>
      </c>
      <c r="C264" s="12"/>
      <c r="D264" s="12" t="s">
        <v>10</v>
      </c>
      <c r="E264" s="12"/>
      <c r="F264" s="12"/>
      <c r="G264" s="12" t="s">
        <v>10</v>
      </c>
      <c r="H264" s="12"/>
      <c r="I264" s="12" t="s">
        <v>10</v>
      </c>
      <c r="J264" s="12"/>
      <c r="K264" s="12"/>
      <c r="L264" s="12"/>
      <c r="M264" s="12" t="s">
        <v>10</v>
      </c>
      <c r="N264" s="12"/>
      <c r="O264" s="12"/>
      <c r="P264" s="12">
        <v>4</v>
      </c>
    </row>
    <row r="265" spans="2:16" x14ac:dyDescent="0.3">
      <c r="B265" s="12" t="s">
        <v>62</v>
      </c>
      <c r="C265" s="12"/>
      <c r="D265" s="12"/>
      <c r="E265" s="12"/>
      <c r="F265" s="12" t="s">
        <v>10</v>
      </c>
      <c r="G265" s="12"/>
      <c r="H265" s="12"/>
      <c r="I265" s="12"/>
      <c r="J265" s="12" t="s">
        <v>10</v>
      </c>
      <c r="K265" s="12"/>
      <c r="L265" s="12"/>
      <c r="M265" s="12" t="s">
        <v>10</v>
      </c>
      <c r="N265" s="12"/>
      <c r="O265" s="12"/>
      <c r="P265" s="12">
        <v>3</v>
      </c>
    </row>
    <row r="266" spans="2:16" x14ac:dyDescent="0.3">
      <c r="B266" s="12" t="s">
        <v>63</v>
      </c>
      <c r="C266" s="12" t="s">
        <v>10</v>
      </c>
      <c r="D266" s="12"/>
      <c r="E266" s="12" t="s">
        <v>10</v>
      </c>
      <c r="F266" s="12"/>
      <c r="G266" s="12" t="s">
        <v>10</v>
      </c>
      <c r="H266" s="12"/>
      <c r="I266" s="12"/>
      <c r="J266" s="12" t="s">
        <v>10</v>
      </c>
      <c r="K266" s="12"/>
      <c r="L266" s="12" t="s">
        <v>10</v>
      </c>
      <c r="M266" s="12"/>
      <c r="N266" s="12"/>
      <c r="O266" s="12"/>
      <c r="P266" s="12">
        <v>5</v>
      </c>
    </row>
    <row r="267" spans="2:16" x14ac:dyDescent="0.3">
      <c r="B267" s="12" t="s">
        <v>64</v>
      </c>
      <c r="C267" s="12"/>
      <c r="D267" s="12" t="s">
        <v>10</v>
      </c>
      <c r="E267" s="12"/>
      <c r="F267" s="12" t="s">
        <v>10</v>
      </c>
      <c r="G267" s="12"/>
      <c r="H267" s="12"/>
      <c r="I267" s="12" t="s">
        <v>10</v>
      </c>
      <c r="J267" s="12"/>
      <c r="K267" s="12" t="s">
        <v>10</v>
      </c>
      <c r="L267" s="12"/>
      <c r="M267" s="12"/>
      <c r="N267" s="12"/>
      <c r="O267" s="12"/>
      <c r="P267" s="12">
        <v>4</v>
      </c>
    </row>
    <row r="268" spans="2:16" x14ac:dyDescent="0.3">
      <c r="B268" s="12" t="s">
        <v>65</v>
      </c>
      <c r="C268" s="12" t="s">
        <v>10</v>
      </c>
      <c r="D268" s="12"/>
      <c r="E268" s="12"/>
      <c r="F268" s="12" t="s">
        <v>10</v>
      </c>
      <c r="G268" s="12"/>
      <c r="H268" s="12"/>
      <c r="I268" s="12"/>
      <c r="J268" s="12" t="s">
        <v>10</v>
      </c>
      <c r="K268" s="12"/>
      <c r="L268" s="12"/>
      <c r="M268" s="12" t="s">
        <v>10</v>
      </c>
      <c r="N268" s="12"/>
      <c r="O268" s="12"/>
      <c r="P268" s="12">
        <v>4</v>
      </c>
    </row>
    <row r="269" spans="2:16" x14ac:dyDescent="0.3">
      <c r="B269" s="13" t="s">
        <v>11</v>
      </c>
      <c r="C269" s="13">
        <v>15</v>
      </c>
      <c r="D269" s="13">
        <v>12</v>
      </c>
      <c r="E269" s="13">
        <v>13</v>
      </c>
      <c r="F269" s="13">
        <v>14</v>
      </c>
      <c r="G269" s="13">
        <v>13</v>
      </c>
      <c r="H269" s="13">
        <v>12</v>
      </c>
      <c r="I269" s="13">
        <v>13</v>
      </c>
      <c r="J269" s="13">
        <v>13</v>
      </c>
      <c r="K269" s="13">
        <v>13</v>
      </c>
      <c r="L269" s="13">
        <v>11</v>
      </c>
      <c r="M269" s="13">
        <v>13</v>
      </c>
      <c r="N269" s="13">
        <v>7</v>
      </c>
      <c r="O269" s="13">
        <v>0</v>
      </c>
      <c r="P269" s="13">
        <v>159</v>
      </c>
    </row>
    <row r="272" spans="2:16" x14ac:dyDescent="0.3">
      <c r="B272" s="30" t="s">
        <v>210</v>
      </c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</row>
    <row r="273" spans="2:16" x14ac:dyDescent="0.3">
      <c r="B273" s="1" t="s">
        <v>0</v>
      </c>
      <c r="C273" s="4">
        <v>45717</v>
      </c>
      <c r="D273" s="4">
        <v>45748</v>
      </c>
      <c r="E273" s="4">
        <v>45778</v>
      </c>
      <c r="F273" s="4">
        <v>45809</v>
      </c>
      <c r="G273" s="4">
        <v>45839</v>
      </c>
      <c r="H273" s="4">
        <v>45870</v>
      </c>
      <c r="I273" s="4">
        <v>45901</v>
      </c>
      <c r="J273" s="4">
        <v>45931</v>
      </c>
      <c r="K273" s="4">
        <v>45962</v>
      </c>
      <c r="L273" s="4">
        <v>45992</v>
      </c>
      <c r="M273" s="4">
        <v>46023</v>
      </c>
      <c r="N273" s="4">
        <v>46054</v>
      </c>
      <c r="O273" s="4">
        <v>46082</v>
      </c>
      <c r="P273" s="1" t="s">
        <v>9</v>
      </c>
    </row>
    <row r="274" spans="2:16" x14ac:dyDescent="0.3">
      <c r="B274" s="12" t="s">
        <v>41</v>
      </c>
      <c r="C274" s="12"/>
      <c r="D274" s="12"/>
      <c r="E274" s="12"/>
      <c r="F274" s="12"/>
      <c r="G274" s="12" t="s">
        <v>10</v>
      </c>
      <c r="H274" s="12"/>
      <c r="I274" s="12" t="s">
        <v>10</v>
      </c>
      <c r="J274" s="12"/>
      <c r="K274" s="12" t="s">
        <v>10</v>
      </c>
      <c r="L274" s="12"/>
      <c r="M274" s="12" t="s">
        <v>10</v>
      </c>
      <c r="N274" s="12"/>
      <c r="O274" s="12"/>
      <c r="P274" s="12">
        <v>4</v>
      </c>
    </row>
    <row r="275" spans="2:16" x14ac:dyDescent="0.3">
      <c r="B275" s="12" t="s">
        <v>2</v>
      </c>
      <c r="C275" s="12" t="s">
        <v>10</v>
      </c>
      <c r="D275" s="12"/>
      <c r="E275" s="12" t="s">
        <v>10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v>2</v>
      </c>
    </row>
    <row r="276" spans="2:16" x14ac:dyDescent="0.3">
      <c r="B276" s="12" t="s">
        <v>42</v>
      </c>
      <c r="C276" s="12"/>
      <c r="D276" s="12" t="s">
        <v>10</v>
      </c>
      <c r="E276" s="12"/>
      <c r="F276" s="12" t="s">
        <v>10</v>
      </c>
      <c r="G276" s="12"/>
      <c r="H276" s="12"/>
      <c r="I276" s="12"/>
      <c r="J276" s="12" t="s">
        <v>10</v>
      </c>
      <c r="K276" s="12"/>
      <c r="L276" s="12"/>
      <c r="M276" s="12"/>
      <c r="N276" s="12"/>
      <c r="O276" s="12"/>
      <c r="P276" s="12">
        <v>3</v>
      </c>
    </row>
    <row r="277" spans="2:16" x14ac:dyDescent="0.3">
      <c r="B277" s="12" t="s">
        <v>43</v>
      </c>
      <c r="C277" s="12" t="s">
        <v>10</v>
      </c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v>1</v>
      </c>
    </row>
    <row r="278" spans="2:16" x14ac:dyDescent="0.3">
      <c r="B278" s="12" t="s">
        <v>4</v>
      </c>
      <c r="C278" s="12"/>
      <c r="D278" s="12"/>
      <c r="E278" s="12" t="s">
        <v>10</v>
      </c>
      <c r="F278" s="12"/>
      <c r="G278" s="12"/>
      <c r="H278" s="12"/>
      <c r="I278" s="12" t="s">
        <v>10</v>
      </c>
      <c r="J278" s="12"/>
      <c r="K278" s="12"/>
      <c r="L278" s="12"/>
      <c r="M278" s="12"/>
      <c r="N278" s="12"/>
      <c r="O278" s="12"/>
      <c r="P278" s="12">
        <v>2</v>
      </c>
    </row>
    <row r="279" spans="2:16" x14ac:dyDescent="0.3">
      <c r="B279" s="12" t="s">
        <v>44</v>
      </c>
      <c r="C279" s="12" t="s">
        <v>10</v>
      </c>
      <c r="D279" s="12"/>
      <c r="E279" s="12"/>
      <c r="F279" s="12" t="s">
        <v>10</v>
      </c>
      <c r="G279" s="12"/>
      <c r="H279" s="12"/>
      <c r="I279" s="12" t="s">
        <v>10</v>
      </c>
      <c r="J279" s="12"/>
      <c r="K279" s="12"/>
      <c r="L279" s="12" t="s">
        <v>10</v>
      </c>
      <c r="M279" s="12"/>
      <c r="N279" s="12" t="s">
        <v>10</v>
      </c>
      <c r="O279" s="12"/>
      <c r="P279" s="12">
        <v>5</v>
      </c>
    </row>
    <row r="280" spans="2:16" x14ac:dyDescent="0.3">
      <c r="B280" s="12" t="s">
        <v>45</v>
      </c>
      <c r="C280" s="12" t="s">
        <v>10</v>
      </c>
      <c r="D280" s="12" t="s">
        <v>10</v>
      </c>
      <c r="E280" s="12" t="s">
        <v>10</v>
      </c>
      <c r="F280" s="12" t="s">
        <v>10</v>
      </c>
      <c r="G280" s="12" t="s">
        <v>10</v>
      </c>
      <c r="H280" s="12" t="s">
        <v>10</v>
      </c>
      <c r="I280" s="12"/>
      <c r="J280" s="12"/>
      <c r="K280" s="12"/>
      <c r="L280" s="12"/>
      <c r="M280" s="12"/>
      <c r="N280" s="12"/>
      <c r="O280" s="12"/>
      <c r="P280" s="12">
        <v>6</v>
      </c>
    </row>
    <row r="281" spans="2:16" x14ac:dyDescent="0.3">
      <c r="B281" s="12" t="s">
        <v>46</v>
      </c>
      <c r="C281" s="12"/>
      <c r="D281" s="12" t="s">
        <v>10</v>
      </c>
      <c r="E281" s="12"/>
      <c r="F281" s="12"/>
      <c r="G281" s="12" t="s">
        <v>10</v>
      </c>
      <c r="H281" s="12"/>
      <c r="I281" s="12"/>
      <c r="J281" s="12" t="s">
        <v>10</v>
      </c>
      <c r="K281" s="12"/>
      <c r="L281" s="12"/>
      <c r="M281" s="12" t="s">
        <v>10</v>
      </c>
      <c r="N281" s="12"/>
      <c r="O281" s="12"/>
      <c r="P281" s="12">
        <v>4</v>
      </c>
    </row>
    <row r="282" spans="2:16" x14ac:dyDescent="0.3">
      <c r="B282" s="12" t="s">
        <v>47</v>
      </c>
      <c r="C282" s="12"/>
      <c r="D282" s="12"/>
      <c r="E282" s="12" t="s">
        <v>10</v>
      </c>
      <c r="F282" s="12"/>
      <c r="G282" s="12"/>
      <c r="H282" s="12"/>
      <c r="I282" s="12" t="s">
        <v>10</v>
      </c>
      <c r="J282" s="12"/>
      <c r="K282" s="12"/>
      <c r="L282" s="12"/>
      <c r="M282" s="12"/>
      <c r="N282" s="12" t="s">
        <v>10</v>
      </c>
      <c r="O282" s="12"/>
      <c r="P282" s="12">
        <v>3</v>
      </c>
    </row>
    <row r="283" spans="2:16" x14ac:dyDescent="0.3">
      <c r="B283" s="12" t="s">
        <v>48</v>
      </c>
      <c r="C283" s="12" t="s">
        <v>10</v>
      </c>
      <c r="D283" s="12"/>
      <c r="E283" s="12"/>
      <c r="F283" s="12"/>
      <c r="G283" s="12"/>
      <c r="H283" s="12" t="s">
        <v>10</v>
      </c>
      <c r="I283" s="12"/>
      <c r="J283" s="12"/>
      <c r="K283" s="12"/>
      <c r="L283" s="12"/>
      <c r="M283" s="12"/>
      <c r="N283" s="12"/>
      <c r="O283" s="12"/>
      <c r="P283" s="12">
        <v>2</v>
      </c>
    </row>
    <row r="284" spans="2:16" x14ac:dyDescent="0.3">
      <c r="B284" s="12" t="s">
        <v>5</v>
      </c>
      <c r="C284" s="12"/>
      <c r="D284" s="12" t="s">
        <v>10</v>
      </c>
      <c r="E284" s="12"/>
      <c r="F284" s="12" t="s">
        <v>10</v>
      </c>
      <c r="G284" s="12"/>
      <c r="H284" s="12"/>
      <c r="I284" s="12" t="s">
        <v>10</v>
      </c>
      <c r="J284" s="12"/>
      <c r="K284" s="12"/>
      <c r="L284" s="12" t="s">
        <v>10</v>
      </c>
      <c r="M284" s="12"/>
      <c r="N284" s="12"/>
      <c r="O284" s="12"/>
      <c r="P284" s="12">
        <v>4</v>
      </c>
    </row>
    <row r="285" spans="2:16" x14ac:dyDescent="0.3">
      <c r="B285" s="12" t="s">
        <v>49</v>
      </c>
      <c r="C285" s="12" t="s">
        <v>10</v>
      </c>
      <c r="D285" s="12"/>
      <c r="E285" s="12" t="s">
        <v>10</v>
      </c>
      <c r="F285" s="12"/>
      <c r="G285" s="12" t="s">
        <v>10</v>
      </c>
      <c r="H285" s="12"/>
      <c r="I285" s="12"/>
      <c r="J285" s="12"/>
      <c r="K285" s="12" t="s">
        <v>10</v>
      </c>
      <c r="L285" s="12"/>
      <c r="M285" s="12"/>
      <c r="N285" s="12"/>
      <c r="O285" s="12" t="s">
        <v>10</v>
      </c>
      <c r="P285" s="12">
        <v>5</v>
      </c>
    </row>
    <row r="286" spans="2:16" x14ac:dyDescent="0.3">
      <c r="B286" s="12" t="s">
        <v>50</v>
      </c>
      <c r="C286" s="12"/>
      <c r="D286" s="12"/>
      <c r="E286" s="12"/>
      <c r="F286" s="12" t="s">
        <v>10</v>
      </c>
      <c r="G286" s="12"/>
      <c r="H286" s="12"/>
      <c r="I286" s="12"/>
      <c r="J286" s="12"/>
      <c r="K286" s="12" t="s">
        <v>10</v>
      </c>
      <c r="L286" s="12"/>
      <c r="M286" s="12"/>
      <c r="N286" s="12"/>
      <c r="O286" s="12"/>
      <c r="P286" s="12">
        <v>2</v>
      </c>
    </row>
    <row r="287" spans="2:16" x14ac:dyDescent="0.3">
      <c r="B287" s="12" t="s">
        <v>51</v>
      </c>
      <c r="C287" s="12"/>
      <c r="D287" s="12" t="s">
        <v>10</v>
      </c>
      <c r="E287" s="12"/>
      <c r="F287" s="12"/>
      <c r="G287" s="12" t="s">
        <v>10</v>
      </c>
      <c r="H287" s="12"/>
      <c r="I287" s="12" t="s">
        <v>10</v>
      </c>
      <c r="J287" s="12"/>
      <c r="K287" s="12"/>
      <c r="L287" s="12"/>
      <c r="M287" s="12" t="s">
        <v>10</v>
      </c>
      <c r="N287" s="12"/>
      <c r="O287" s="12"/>
      <c r="P287" s="12">
        <v>4</v>
      </c>
    </row>
    <row r="288" spans="2:16" x14ac:dyDescent="0.3">
      <c r="B288" s="12" t="s">
        <v>52</v>
      </c>
      <c r="C288" s="12" t="s">
        <v>10</v>
      </c>
      <c r="D288" s="12"/>
      <c r="E288" s="12" t="s">
        <v>10</v>
      </c>
      <c r="F288" s="12" t="s">
        <v>10</v>
      </c>
      <c r="G288" s="12"/>
      <c r="H288" s="12"/>
      <c r="I288" s="12"/>
      <c r="J288" s="12" t="s">
        <v>10</v>
      </c>
      <c r="K288" s="12"/>
      <c r="L288" s="12"/>
      <c r="M288" s="12" t="s">
        <v>10</v>
      </c>
      <c r="N288" s="12"/>
      <c r="O288" s="12"/>
      <c r="P288" s="12">
        <v>5</v>
      </c>
    </row>
    <row r="289" spans="2:16" x14ac:dyDescent="0.3">
      <c r="B289" s="12" t="s">
        <v>53</v>
      </c>
      <c r="C289" s="12"/>
      <c r="D289" s="12"/>
      <c r="E289" s="12"/>
      <c r="F289" s="12"/>
      <c r="G289" s="12" t="s">
        <v>10</v>
      </c>
      <c r="H289" s="12"/>
      <c r="I289" s="12"/>
      <c r="J289" s="12"/>
      <c r="K289" s="12" t="s">
        <v>10</v>
      </c>
      <c r="L289" s="12"/>
      <c r="M289" s="12"/>
      <c r="N289" s="12" t="s">
        <v>10</v>
      </c>
      <c r="O289" s="12"/>
      <c r="P289" s="12">
        <v>3</v>
      </c>
    </row>
    <row r="290" spans="2:16" x14ac:dyDescent="0.3">
      <c r="B290" s="12" t="s">
        <v>6</v>
      </c>
      <c r="C290" s="12" t="s">
        <v>10</v>
      </c>
      <c r="D290" s="12"/>
      <c r="E290" s="12" t="s">
        <v>10</v>
      </c>
      <c r="F290" s="12"/>
      <c r="G290" s="12" t="s">
        <v>10</v>
      </c>
      <c r="H290" s="12"/>
      <c r="I290" s="12" t="s">
        <v>10</v>
      </c>
      <c r="J290" s="12"/>
      <c r="K290" s="12" t="s">
        <v>10</v>
      </c>
      <c r="L290" s="12"/>
      <c r="M290" s="12"/>
      <c r="N290" s="12"/>
      <c r="O290" s="12"/>
      <c r="P290" s="12">
        <v>5</v>
      </c>
    </row>
    <row r="291" spans="2:16" x14ac:dyDescent="0.3">
      <c r="B291" s="12" t="s">
        <v>29</v>
      </c>
      <c r="C291" s="12"/>
      <c r="D291" s="12" t="s">
        <v>10</v>
      </c>
      <c r="E291" s="12"/>
      <c r="F291" s="12"/>
      <c r="G291" s="12"/>
      <c r="H291" s="12" t="s">
        <v>10</v>
      </c>
      <c r="I291" s="12"/>
      <c r="J291" s="12"/>
      <c r="K291" s="12" t="s">
        <v>10</v>
      </c>
      <c r="L291" s="12"/>
      <c r="M291" s="12"/>
      <c r="N291" s="12"/>
      <c r="O291" s="12"/>
      <c r="P291" s="12">
        <v>3</v>
      </c>
    </row>
    <row r="292" spans="2:16" x14ac:dyDescent="0.3">
      <c r="B292" s="12" t="s">
        <v>54</v>
      </c>
      <c r="C292" s="12" t="s">
        <v>10</v>
      </c>
      <c r="D292" s="12"/>
      <c r="E292" s="12"/>
      <c r="F292" s="12" t="s">
        <v>10</v>
      </c>
      <c r="G292" s="12"/>
      <c r="H292" s="12" t="s">
        <v>10</v>
      </c>
      <c r="I292" s="12"/>
      <c r="J292" s="12" t="s">
        <v>10</v>
      </c>
      <c r="K292" s="12"/>
      <c r="L292" s="12" t="s">
        <v>10</v>
      </c>
      <c r="M292" s="12"/>
      <c r="N292" s="12"/>
      <c r="O292" s="12"/>
      <c r="P292" s="12">
        <v>5</v>
      </c>
    </row>
    <row r="293" spans="2:16" x14ac:dyDescent="0.3">
      <c r="B293" s="12" t="s">
        <v>32</v>
      </c>
      <c r="C293" s="12"/>
      <c r="D293" s="12"/>
      <c r="E293" s="12" t="s">
        <v>10</v>
      </c>
      <c r="F293" s="12"/>
      <c r="G293" s="12"/>
      <c r="H293" s="12" t="s">
        <v>10</v>
      </c>
      <c r="I293" s="12"/>
      <c r="J293" s="12"/>
      <c r="K293" s="12" t="s">
        <v>10</v>
      </c>
      <c r="L293" s="12"/>
      <c r="M293" s="12"/>
      <c r="N293" s="12"/>
      <c r="O293" s="12"/>
      <c r="P293" s="12">
        <v>3</v>
      </c>
    </row>
    <row r="294" spans="2:16" x14ac:dyDescent="0.3">
      <c r="B294" s="12" t="s">
        <v>33</v>
      </c>
      <c r="C294" s="12" t="s">
        <v>10</v>
      </c>
      <c r="D294" s="12"/>
      <c r="E294" s="12" t="s">
        <v>10</v>
      </c>
      <c r="F294" s="12"/>
      <c r="G294" s="12" t="s">
        <v>10</v>
      </c>
      <c r="H294" s="12"/>
      <c r="I294" s="12"/>
      <c r="J294" s="12" t="s">
        <v>10</v>
      </c>
      <c r="K294" s="12"/>
      <c r="L294" s="12" t="s">
        <v>10</v>
      </c>
      <c r="M294" s="12"/>
      <c r="N294" s="12"/>
      <c r="O294" s="12"/>
      <c r="P294" s="12">
        <v>5</v>
      </c>
    </row>
    <row r="295" spans="2:16" x14ac:dyDescent="0.3">
      <c r="B295" s="12" t="s">
        <v>55</v>
      </c>
      <c r="C295" s="12"/>
      <c r="D295" s="12" t="s">
        <v>10</v>
      </c>
      <c r="E295" s="12"/>
      <c r="F295" s="12"/>
      <c r="G295" s="12"/>
      <c r="H295" s="12"/>
      <c r="I295" s="12" t="s">
        <v>10</v>
      </c>
      <c r="J295" s="12"/>
      <c r="K295" s="12"/>
      <c r="L295" s="12" t="s">
        <v>10</v>
      </c>
      <c r="M295" s="12"/>
      <c r="N295" s="12"/>
      <c r="O295" s="12"/>
      <c r="P295" s="12">
        <v>3</v>
      </c>
    </row>
    <row r="296" spans="2:16" x14ac:dyDescent="0.3">
      <c r="B296" s="12" t="s">
        <v>56</v>
      </c>
      <c r="C296" s="12" t="s">
        <v>10</v>
      </c>
      <c r="D296" s="12"/>
      <c r="E296" s="12"/>
      <c r="F296" s="12" t="s">
        <v>10</v>
      </c>
      <c r="G296" s="12"/>
      <c r="H296" s="12"/>
      <c r="I296" s="12"/>
      <c r="J296" s="12" t="s">
        <v>10</v>
      </c>
      <c r="K296" s="12"/>
      <c r="L296" s="12"/>
      <c r="M296" s="12" t="s">
        <v>10</v>
      </c>
      <c r="N296" s="12"/>
      <c r="O296" s="12"/>
      <c r="P296" s="12">
        <v>4</v>
      </c>
    </row>
    <row r="297" spans="2:16" x14ac:dyDescent="0.3">
      <c r="B297" s="12" t="s">
        <v>57</v>
      </c>
      <c r="C297" s="12"/>
      <c r="D297" s="12"/>
      <c r="E297" s="12"/>
      <c r="F297" s="12"/>
      <c r="G297" s="12" t="s">
        <v>10</v>
      </c>
      <c r="H297" s="12"/>
      <c r="I297" s="12"/>
      <c r="J297" s="12"/>
      <c r="K297" s="12"/>
      <c r="L297" s="12"/>
      <c r="M297" s="12" t="s">
        <v>10</v>
      </c>
      <c r="N297" s="12"/>
      <c r="O297" s="12"/>
      <c r="P297" s="12">
        <v>2</v>
      </c>
    </row>
    <row r="298" spans="2:16" x14ac:dyDescent="0.3">
      <c r="B298" s="12" t="s">
        <v>58</v>
      </c>
      <c r="C298" s="12" t="s">
        <v>10</v>
      </c>
      <c r="D298" s="12"/>
      <c r="E298" s="12" t="s">
        <v>10</v>
      </c>
      <c r="F298" s="12"/>
      <c r="G298" s="12"/>
      <c r="H298" s="12" t="s">
        <v>10</v>
      </c>
      <c r="I298" s="12"/>
      <c r="J298" s="12" t="s">
        <v>10</v>
      </c>
      <c r="K298" s="12"/>
      <c r="L298" s="12"/>
      <c r="M298" s="12" t="s">
        <v>10</v>
      </c>
      <c r="N298" s="12"/>
      <c r="O298" s="12"/>
      <c r="P298" s="12">
        <v>5</v>
      </c>
    </row>
    <row r="299" spans="2:16" x14ac:dyDescent="0.3">
      <c r="B299" s="12" t="s">
        <v>31</v>
      </c>
      <c r="C299" s="12"/>
      <c r="D299" s="12" t="s">
        <v>10</v>
      </c>
      <c r="E299" s="12"/>
      <c r="F299" s="12" t="s">
        <v>10</v>
      </c>
      <c r="G299" s="12"/>
      <c r="H299" s="12"/>
      <c r="I299" s="12" t="s">
        <v>10</v>
      </c>
      <c r="J299" s="12"/>
      <c r="K299" s="12" t="s">
        <v>10</v>
      </c>
      <c r="L299" s="12"/>
      <c r="M299" s="12"/>
      <c r="N299" s="12" t="s">
        <v>10</v>
      </c>
      <c r="O299" s="12"/>
      <c r="P299" s="12">
        <v>5</v>
      </c>
    </row>
    <row r="300" spans="2:16" x14ac:dyDescent="0.3">
      <c r="B300" s="12" t="s">
        <v>59</v>
      </c>
      <c r="C300" s="12" t="s">
        <v>10</v>
      </c>
      <c r="D300" s="12"/>
      <c r="E300" s="12"/>
      <c r="F300" s="12"/>
      <c r="G300" s="12"/>
      <c r="H300" s="12" t="s">
        <v>10</v>
      </c>
      <c r="I300" s="12"/>
      <c r="J300" s="12"/>
      <c r="K300" s="12" t="s">
        <v>10</v>
      </c>
      <c r="L300" s="12"/>
      <c r="M300" s="12"/>
      <c r="N300" s="12"/>
      <c r="O300" s="12"/>
      <c r="P300" s="12">
        <v>3</v>
      </c>
    </row>
    <row r="301" spans="2:16" x14ac:dyDescent="0.3">
      <c r="B301" s="12" t="s">
        <v>60</v>
      </c>
      <c r="C301" s="12"/>
      <c r="D301" s="12" t="s">
        <v>10</v>
      </c>
      <c r="E301" s="12" t="s">
        <v>10</v>
      </c>
      <c r="F301" s="12"/>
      <c r="G301" s="12" t="s">
        <v>10</v>
      </c>
      <c r="H301" s="12"/>
      <c r="I301" s="12"/>
      <c r="J301" s="12"/>
      <c r="K301" s="12" t="s">
        <v>10</v>
      </c>
      <c r="L301" s="12"/>
      <c r="M301" s="12"/>
      <c r="N301" s="12"/>
      <c r="O301" s="12"/>
      <c r="P301" s="12">
        <v>4</v>
      </c>
    </row>
    <row r="302" spans="2:16" x14ac:dyDescent="0.3">
      <c r="B302" s="12" t="s">
        <v>7</v>
      </c>
      <c r="C302" s="12" t="s">
        <v>10</v>
      </c>
      <c r="D302" s="12"/>
      <c r="E302" s="12"/>
      <c r="F302" s="12" t="s">
        <v>10</v>
      </c>
      <c r="G302" s="12"/>
      <c r="H302" s="12" t="s">
        <v>10</v>
      </c>
      <c r="I302" s="12"/>
      <c r="J302" s="12"/>
      <c r="K302" s="12"/>
      <c r="L302" s="12" t="s">
        <v>10</v>
      </c>
      <c r="M302" s="12"/>
      <c r="N302" s="12"/>
      <c r="O302" s="12"/>
      <c r="P302" s="12">
        <v>4</v>
      </c>
    </row>
    <row r="303" spans="2:16" x14ac:dyDescent="0.3">
      <c r="B303" s="12" t="s">
        <v>61</v>
      </c>
      <c r="C303" s="12"/>
      <c r="D303" s="12" t="s">
        <v>10</v>
      </c>
      <c r="E303" s="12"/>
      <c r="F303" s="12"/>
      <c r="G303" s="12" t="s">
        <v>10</v>
      </c>
      <c r="H303" s="12"/>
      <c r="I303" s="12" t="s">
        <v>10</v>
      </c>
      <c r="J303" s="12"/>
      <c r="K303" s="12"/>
      <c r="L303" s="12"/>
      <c r="M303" s="12" t="s">
        <v>10</v>
      </c>
      <c r="N303" s="12"/>
      <c r="O303" s="12"/>
      <c r="P303" s="12">
        <v>4</v>
      </c>
    </row>
    <row r="304" spans="2:16" x14ac:dyDescent="0.3">
      <c r="B304" s="12" t="s">
        <v>62</v>
      </c>
      <c r="C304" s="12"/>
      <c r="D304" s="12"/>
      <c r="E304" s="12"/>
      <c r="F304" s="12" t="s">
        <v>10</v>
      </c>
      <c r="G304" s="12"/>
      <c r="H304" s="12"/>
      <c r="I304" s="12"/>
      <c r="J304" s="12" t="s">
        <v>10</v>
      </c>
      <c r="K304" s="12"/>
      <c r="L304" s="12"/>
      <c r="M304" s="12" t="s">
        <v>10</v>
      </c>
      <c r="N304" s="12"/>
      <c r="O304" s="12"/>
      <c r="P304" s="12">
        <v>3</v>
      </c>
    </row>
    <row r="305" spans="2:16" x14ac:dyDescent="0.3">
      <c r="B305" s="12" t="s">
        <v>63</v>
      </c>
      <c r="C305" s="12" t="s">
        <v>10</v>
      </c>
      <c r="D305" s="12"/>
      <c r="E305" s="12" t="s">
        <v>10</v>
      </c>
      <c r="F305" s="12"/>
      <c r="G305" s="12" t="s">
        <v>10</v>
      </c>
      <c r="H305" s="12"/>
      <c r="I305" s="12"/>
      <c r="J305" s="12" t="s">
        <v>10</v>
      </c>
      <c r="K305" s="12"/>
      <c r="L305" s="12" t="s">
        <v>10</v>
      </c>
      <c r="M305" s="12"/>
      <c r="N305" s="12"/>
      <c r="O305" s="12"/>
      <c r="P305" s="12">
        <v>5</v>
      </c>
    </row>
    <row r="306" spans="2:16" x14ac:dyDescent="0.3">
      <c r="B306" s="12" t="s">
        <v>64</v>
      </c>
      <c r="C306" s="12"/>
      <c r="D306" s="12" t="s">
        <v>10</v>
      </c>
      <c r="E306" s="12"/>
      <c r="F306" s="12" t="s">
        <v>10</v>
      </c>
      <c r="G306" s="12"/>
      <c r="H306" s="12"/>
      <c r="I306" s="12" t="s">
        <v>10</v>
      </c>
      <c r="J306" s="12"/>
      <c r="K306" s="12" t="s">
        <v>10</v>
      </c>
      <c r="L306" s="12"/>
      <c r="M306" s="12"/>
      <c r="N306" s="12"/>
      <c r="O306" s="12"/>
      <c r="P306" s="12">
        <v>4</v>
      </c>
    </row>
    <row r="307" spans="2:16" x14ac:dyDescent="0.3">
      <c r="B307" s="12" t="s">
        <v>65</v>
      </c>
      <c r="C307" s="12" t="s">
        <v>10</v>
      </c>
      <c r="D307" s="12"/>
      <c r="E307" s="12"/>
      <c r="F307" s="12" t="s">
        <v>10</v>
      </c>
      <c r="G307" s="12"/>
      <c r="H307" s="12"/>
      <c r="I307" s="12"/>
      <c r="J307" s="12" t="s">
        <v>10</v>
      </c>
      <c r="K307" s="12"/>
      <c r="L307" s="12"/>
      <c r="M307" s="12" t="s">
        <v>10</v>
      </c>
      <c r="N307" s="12"/>
      <c r="O307" s="12"/>
      <c r="P307" s="12">
        <v>4</v>
      </c>
    </row>
    <row r="308" spans="2:16" x14ac:dyDescent="0.3">
      <c r="B308" s="13" t="s">
        <v>11</v>
      </c>
      <c r="C308" s="13">
        <v>15</v>
      </c>
      <c r="D308" s="13">
        <v>12</v>
      </c>
      <c r="E308" s="13">
        <v>13</v>
      </c>
      <c r="F308" s="13">
        <v>14</v>
      </c>
      <c r="G308" s="13">
        <v>13</v>
      </c>
      <c r="H308" s="13">
        <v>12</v>
      </c>
      <c r="I308" s="13">
        <v>13</v>
      </c>
      <c r="J308" s="13">
        <v>13</v>
      </c>
      <c r="K308" s="13">
        <v>13</v>
      </c>
      <c r="L308" s="13">
        <v>11</v>
      </c>
      <c r="M308" s="13">
        <v>13</v>
      </c>
      <c r="N308" s="13">
        <v>7</v>
      </c>
      <c r="O308" s="13">
        <v>0</v>
      </c>
      <c r="P308" s="13">
        <v>159</v>
      </c>
    </row>
    <row r="311" spans="2:16" x14ac:dyDescent="0.3">
      <c r="B311" s="31" t="s">
        <v>13</v>
      </c>
      <c r="C311" s="31"/>
      <c r="D311" s="31"/>
      <c r="E311" s="31"/>
      <c r="F311" s="31"/>
    </row>
    <row r="312" spans="2:16" x14ac:dyDescent="0.3">
      <c r="B312" s="5" t="s">
        <v>0</v>
      </c>
      <c r="C312" s="5" t="s">
        <v>14</v>
      </c>
      <c r="D312" s="5" t="s">
        <v>15</v>
      </c>
      <c r="E312" s="5" t="s">
        <v>16</v>
      </c>
      <c r="F312" s="5" t="s">
        <v>21</v>
      </c>
      <c r="H312" s="9"/>
      <c r="I312" s="9"/>
      <c r="J312" s="9"/>
      <c r="K312" s="9"/>
      <c r="L312" s="9"/>
    </row>
    <row r="313" spans="2:16" x14ac:dyDescent="0.3">
      <c r="B313" s="12" t="s">
        <v>66</v>
      </c>
      <c r="C313" s="12" t="s">
        <v>17</v>
      </c>
      <c r="D313" s="12" t="s">
        <v>17</v>
      </c>
      <c r="E313" s="12" t="s">
        <v>18</v>
      </c>
      <c r="F313" s="14">
        <v>45672</v>
      </c>
      <c r="H313" s="10"/>
      <c r="I313" s="10"/>
      <c r="J313" s="10"/>
      <c r="K313" s="10"/>
      <c r="L313" s="11"/>
    </row>
    <row r="314" spans="2:16" x14ac:dyDescent="0.3">
      <c r="B314" s="12" t="s">
        <v>67</v>
      </c>
      <c r="C314" s="12" t="s">
        <v>22</v>
      </c>
      <c r="D314" s="12" t="s">
        <v>22</v>
      </c>
      <c r="E314" s="12" t="s">
        <v>19</v>
      </c>
      <c r="F314" s="14">
        <v>45708</v>
      </c>
      <c r="H314" s="10"/>
      <c r="I314" s="10"/>
      <c r="J314" s="10"/>
      <c r="K314" s="10"/>
      <c r="L314" s="11"/>
    </row>
    <row r="315" spans="2:16" x14ac:dyDescent="0.3">
      <c r="B315" s="12" t="s">
        <v>68</v>
      </c>
      <c r="C315" s="12" t="s">
        <v>23</v>
      </c>
      <c r="D315" s="12" t="s">
        <v>23</v>
      </c>
      <c r="E315" s="12" t="s">
        <v>20</v>
      </c>
      <c r="F315" s="14">
        <v>45728</v>
      </c>
      <c r="H315" s="10"/>
      <c r="I315" s="10"/>
      <c r="J315" s="10"/>
      <c r="K315" s="10"/>
      <c r="L315" s="11"/>
    </row>
    <row r="316" spans="2:16" x14ac:dyDescent="0.3">
      <c r="B316" s="12" t="s">
        <v>69</v>
      </c>
      <c r="C316" s="12" t="s">
        <v>24</v>
      </c>
      <c r="D316" s="12" t="s">
        <v>24</v>
      </c>
      <c r="E316" s="12" t="s">
        <v>18</v>
      </c>
      <c r="F316" s="14">
        <v>45755</v>
      </c>
      <c r="H316" s="10"/>
      <c r="I316" s="10"/>
      <c r="J316" s="10"/>
      <c r="K316" s="10"/>
      <c r="L316" s="11"/>
    </row>
    <row r="317" spans="2:16" x14ac:dyDescent="0.3">
      <c r="B317" s="12" t="s">
        <v>70</v>
      </c>
      <c r="C317" s="12" t="s">
        <v>25</v>
      </c>
      <c r="D317" s="12" t="s">
        <v>25</v>
      </c>
      <c r="E317" s="12" t="s">
        <v>19</v>
      </c>
      <c r="F317" s="14">
        <v>45794</v>
      </c>
      <c r="H317" s="10"/>
      <c r="I317" s="10"/>
      <c r="J317" s="10"/>
      <c r="K317" s="10"/>
      <c r="L317" s="11"/>
    </row>
    <row r="318" spans="2:16" x14ac:dyDescent="0.3">
      <c r="B318" s="12" t="s">
        <v>71</v>
      </c>
      <c r="C318" s="12" t="s">
        <v>26</v>
      </c>
      <c r="D318" s="12" t="s">
        <v>26</v>
      </c>
      <c r="E318" s="12" t="s">
        <v>20</v>
      </c>
      <c r="F318" s="14">
        <v>45830</v>
      </c>
      <c r="H318" s="10"/>
      <c r="I318" s="10"/>
      <c r="J318" s="10"/>
      <c r="K318" s="10"/>
      <c r="L318" s="11"/>
    </row>
    <row r="319" spans="2:16" x14ac:dyDescent="0.3">
      <c r="B319" s="12" t="s">
        <v>3</v>
      </c>
      <c r="C319" s="12" t="s">
        <v>205</v>
      </c>
      <c r="D319" s="12" t="s">
        <v>205</v>
      </c>
      <c r="E319" s="12" t="s">
        <v>19</v>
      </c>
      <c r="F319" s="14">
        <v>46032</v>
      </c>
      <c r="H319" s="10"/>
      <c r="I319" s="10"/>
      <c r="J319" s="10"/>
      <c r="K319" s="10"/>
      <c r="L319" s="11"/>
    </row>
    <row r="320" spans="2:16" x14ac:dyDescent="0.3">
      <c r="B320" s="12" t="s">
        <v>72</v>
      </c>
      <c r="C320" s="12" t="s">
        <v>205</v>
      </c>
      <c r="D320" s="12" t="s">
        <v>205</v>
      </c>
      <c r="E320" s="12" t="s">
        <v>19</v>
      </c>
      <c r="F320" s="14">
        <v>46036</v>
      </c>
      <c r="H320" s="10"/>
      <c r="I320" s="10"/>
      <c r="J320" s="10"/>
      <c r="K320" s="10"/>
      <c r="L320" s="11"/>
    </row>
    <row r="321" spans="2:12" x14ac:dyDescent="0.3">
      <c r="B321" s="12" t="s">
        <v>73</v>
      </c>
      <c r="C321" s="12" t="s">
        <v>22</v>
      </c>
      <c r="D321" s="12" t="s">
        <v>22</v>
      </c>
      <c r="E321" s="12" t="s">
        <v>19</v>
      </c>
      <c r="F321" s="14">
        <v>46040</v>
      </c>
      <c r="H321" s="10"/>
      <c r="I321" s="10"/>
      <c r="J321" s="10"/>
      <c r="K321" s="10"/>
      <c r="L321" s="11"/>
    </row>
    <row r="322" spans="2:12" x14ac:dyDescent="0.3">
      <c r="B322" s="12" t="s">
        <v>74</v>
      </c>
      <c r="C322" s="12" t="s">
        <v>25</v>
      </c>
      <c r="D322" s="12" t="s">
        <v>25</v>
      </c>
      <c r="E322" s="12" t="s">
        <v>19</v>
      </c>
      <c r="F322" s="14">
        <v>46044</v>
      </c>
      <c r="H322" s="10"/>
      <c r="I322" s="10"/>
      <c r="J322" s="10"/>
      <c r="K322" s="10"/>
      <c r="L322" s="11"/>
    </row>
    <row r="323" spans="2:12" x14ac:dyDescent="0.3">
      <c r="B323" s="12" t="s">
        <v>75</v>
      </c>
      <c r="C323" s="12" t="s">
        <v>26</v>
      </c>
      <c r="D323" s="12" t="s">
        <v>26</v>
      </c>
      <c r="E323" s="12" t="s">
        <v>19</v>
      </c>
      <c r="F323" s="14">
        <v>46047</v>
      </c>
      <c r="H323" s="10"/>
      <c r="I323" s="10"/>
      <c r="J323" s="10"/>
      <c r="K323" s="10"/>
      <c r="L323" s="11"/>
    </row>
    <row r="324" spans="2:12" x14ac:dyDescent="0.3">
      <c r="B324" s="12" t="s">
        <v>76</v>
      </c>
      <c r="C324" s="12" t="s">
        <v>206</v>
      </c>
      <c r="D324" s="12" t="s">
        <v>206</v>
      </c>
      <c r="E324" s="12" t="s">
        <v>19</v>
      </c>
      <c r="F324" s="14">
        <v>46050</v>
      </c>
      <c r="H324" s="10"/>
      <c r="I324" s="10"/>
      <c r="J324" s="10"/>
      <c r="K324" s="10"/>
      <c r="L324" s="11"/>
    </row>
    <row r="325" spans="2:12" x14ac:dyDescent="0.3">
      <c r="B325" s="12" t="s">
        <v>41</v>
      </c>
      <c r="C325" s="12" t="s">
        <v>207</v>
      </c>
      <c r="D325" s="12" t="s">
        <v>207</v>
      </c>
      <c r="E325" s="12" t="s">
        <v>20</v>
      </c>
      <c r="F325" s="14">
        <v>46055</v>
      </c>
      <c r="H325" s="10"/>
      <c r="I325" s="10"/>
      <c r="J325" s="10"/>
      <c r="K325" s="10"/>
      <c r="L325" s="11"/>
    </row>
    <row r="326" spans="2:12" x14ac:dyDescent="0.3">
      <c r="B326" s="12" t="s">
        <v>2</v>
      </c>
      <c r="C326" s="12" t="s">
        <v>207</v>
      </c>
      <c r="D326" s="12" t="s">
        <v>207</v>
      </c>
      <c r="E326" s="12" t="s">
        <v>18</v>
      </c>
      <c r="F326" s="14">
        <v>46058</v>
      </c>
      <c r="H326" s="10"/>
      <c r="I326" s="10"/>
      <c r="J326" s="10"/>
      <c r="K326" s="10"/>
      <c r="L326" s="11"/>
    </row>
    <row r="327" spans="2:12" x14ac:dyDescent="0.3">
      <c r="B327" s="12" t="s">
        <v>77</v>
      </c>
      <c r="C327" s="12" t="s">
        <v>22</v>
      </c>
      <c r="D327" s="12" t="s">
        <v>22</v>
      </c>
      <c r="E327" s="12" t="s">
        <v>20</v>
      </c>
      <c r="F327" s="14">
        <v>46062</v>
      </c>
      <c r="H327" s="10"/>
      <c r="I327" s="10"/>
      <c r="J327" s="10"/>
      <c r="K327" s="10"/>
      <c r="L327" s="11"/>
    </row>
    <row r="328" spans="2:12" x14ac:dyDescent="0.3">
      <c r="B328" s="12" t="s">
        <v>78</v>
      </c>
      <c r="C328" s="12" t="s">
        <v>24</v>
      </c>
      <c r="D328" s="12" t="s">
        <v>24</v>
      </c>
      <c r="E328" s="12" t="s">
        <v>18</v>
      </c>
      <c r="F328" s="14">
        <v>46065</v>
      </c>
      <c r="H328" s="10"/>
      <c r="I328" s="10"/>
      <c r="J328" s="10"/>
      <c r="K328" s="10"/>
      <c r="L328" s="11"/>
    </row>
    <row r="329" spans="2:12" x14ac:dyDescent="0.3">
      <c r="B329" s="12" t="s">
        <v>79</v>
      </c>
      <c r="C329" s="12" t="s">
        <v>26</v>
      </c>
      <c r="D329" s="12" t="s">
        <v>26</v>
      </c>
      <c r="E329" s="12" t="s">
        <v>19</v>
      </c>
      <c r="F329" s="14">
        <v>46069</v>
      </c>
      <c r="H329" s="10"/>
      <c r="I329" s="10"/>
      <c r="J329" s="10"/>
      <c r="K329" s="10"/>
      <c r="L329" s="11"/>
    </row>
    <row r="330" spans="2:12" x14ac:dyDescent="0.3">
      <c r="B330" s="12" t="s">
        <v>80</v>
      </c>
      <c r="C330" s="12" t="s">
        <v>207</v>
      </c>
      <c r="D330" s="12" t="s">
        <v>207</v>
      </c>
      <c r="E330" s="12" t="s">
        <v>19</v>
      </c>
      <c r="F330" s="14">
        <v>46072</v>
      </c>
      <c r="H330" s="10"/>
      <c r="I330" s="10"/>
      <c r="J330" s="10"/>
      <c r="K330" s="10"/>
      <c r="L330" s="11"/>
    </row>
    <row r="331" spans="2:12" x14ac:dyDescent="0.3">
      <c r="B331" s="12" t="s">
        <v>81</v>
      </c>
      <c r="C331" s="12" t="s">
        <v>22</v>
      </c>
      <c r="D331" s="12" t="s">
        <v>22</v>
      </c>
      <c r="E331" s="12" t="s">
        <v>19</v>
      </c>
      <c r="F331" s="14">
        <v>46076</v>
      </c>
      <c r="H331" s="10"/>
      <c r="I331" s="10"/>
      <c r="J331" s="10"/>
      <c r="K331" s="10"/>
      <c r="L331" s="11"/>
    </row>
    <row r="332" spans="2:12" x14ac:dyDescent="0.3">
      <c r="B332" s="12" t="s">
        <v>82</v>
      </c>
      <c r="C332" s="12" t="s">
        <v>23</v>
      </c>
      <c r="D332" s="12" t="s">
        <v>23</v>
      </c>
      <c r="E332" s="12" t="s">
        <v>18</v>
      </c>
      <c r="F332" s="14">
        <v>46079</v>
      </c>
      <c r="H332" s="10"/>
      <c r="I332" s="10"/>
      <c r="J332" s="10"/>
      <c r="K332" s="10"/>
      <c r="L332" s="11"/>
    </row>
    <row r="333" spans="2:12" x14ac:dyDescent="0.3">
      <c r="B333" s="12" t="s">
        <v>83</v>
      </c>
      <c r="C333" s="12" t="s">
        <v>207</v>
      </c>
      <c r="D333" s="12" t="s">
        <v>207</v>
      </c>
      <c r="E333" s="12" t="s">
        <v>19</v>
      </c>
      <c r="F333" s="14">
        <v>46083</v>
      </c>
      <c r="H333" s="10"/>
      <c r="I333" s="10"/>
      <c r="J333" s="10"/>
      <c r="K333" s="10"/>
      <c r="L333" s="11"/>
    </row>
    <row r="334" spans="2:12" x14ac:dyDescent="0.3">
      <c r="B334" s="12" t="s">
        <v>42</v>
      </c>
      <c r="C334" s="12" t="s">
        <v>25</v>
      </c>
      <c r="D334" s="12" t="s">
        <v>25</v>
      </c>
      <c r="E334" s="12" t="s">
        <v>20</v>
      </c>
      <c r="F334" s="14">
        <v>46086</v>
      </c>
      <c r="H334" s="10"/>
      <c r="I334" s="10"/>
      <c r="J334" s="10"/>
      <c r="K334" s="10"/>
      <c r="L334" s="11"/>
    </row>
    <row r="335" spans="2:12" x14ac:dyDescent="0.3">
      <c r="B335" s="12" t="s">
        <v>84</v>
      </c>
      <c r="C335" s="12" t="s">
        <v>22</v>
      </c>
      <c r="D335" s="12" t="s">
        <v>22</v>
      </c>
      <c r="E335" s="12" t="s">
        <v>19</v>
      </c>
      <c r="F335" s="14">
        <v>46090</v>
      </c>
      <c r="H335" s="10"/>
      <c r="I335" s="10"/>
      <c r="J335" s="10"/>
      <c r="K335" s="10"/>
      <c r="L335" s="11"/>
    </row>
    <row r="336" spans="2:12" x14ac:dyDescent="0.3">
      <c r="B336" s="12" t="s">
        <v>85</v>
      </c>
      <c r="C336" s="12" t="s">
        <v>26</v>
      </c>
      <c r="D336" s="12" t="s">
        <v>26</v>
      </c>
      <c r="E336" s="12" t="s">
        <v>19</v>
      </c>
      <c r="F336" s="14">
        <v>46093</v>
      </c>
      <c r="H336" s="10"/>
      <c r="I336" s="10"/>
      <c r="J336" s="10"/>
      <c r="K336" s="10"/>
      <c r="L336" s="11"/>
    </row>
    <row r="337" spans="2:12" x14ac:dyDescent="0.3">
      <c r="B337" s="12" t="s">
        <v>86</v>
      </c>
      <c r="C337" s="12" t="s">
        <v>25</v>
      </c>
      <c r="D337" s="12" t="s">
        <v>25</v>
      </c>
      <c r="E337" s="12" t="s">
        <v>20</v>
      </c>
      <c r="F337" s="14">
        <v>46097</v>
      </c>
      <c r="H337" s="10"/>
      <c r="I337" s="10"/>
      <c r="J337" s="10"/>
      <c r="K337" s="10"/>
      <c r="L337" s="11"/>
    </row>
    <row r="338" spans="2:12" x14ac:dyDescent="0.3">
      <c r="B338" s="12" t="s">
        <v>87</v>
      </c>
      <c r="C338" s="12" t="s">
        <v>208</v>
      </c>
      <c r="D338" s="12" t="s">
        <v>208</v>
      </c>
      <c r="E338" s="12" t="s">
        <v>18</v>
      </c>
      <c r="F338" s="14">
        <v>46100</v>
      </c>
      <c r="H338" s="10"/>
      <c r="I338" s="10"/>
      <c r="J338" s="10"/>
      <c r="K338" s="10"/>
      <c r="L338" s="11"/>
    </row>
    <row r="339" spans="2:12" x14ac:dyDescent="0.3">
      <c r="B339" s="12" t="s">
        <v>88</v>
      </c>
      <c r="C339" s="12" t="s">
        <v>26</v>
      </c>
      <c r="D339" s="12" t="s">
        <v>26</v>
      </c>
      <c r="E339" s="12" t="s">
        <v>19</v>
      </c>
      <c r="F339" s="14">
        <v>46104</v>
      </c>
      <c r="H339" s="10"/>
      <c r="I339" s="10"/>
      <c r="J339" s="10"/>
      <c r="K339" s="10"/>
      <c r="L339" s="11"/>
    </row>
    <row r="340" spans="2:12" x14ac:dyDescent="0.3">
      <c r="B340" s="12" t="s">
        <v>89</v>
      </c>
      <c r="C340" s="12" t="s">
        <v>207</v>
      </c>
      <c r="D340" s="12" t="s">
        <v>207</v>
      </c>
      <c r="E340" s="12" t="s">
        <v>19</v>
      </c>
      <c r="F340" s="14">
        <v>46107</v>
      </c>
      <c r="H340" s="10"/>
      <c r="I340" s="10"/>
      <c r="J340" s="10"/>
      <c r="K340" s="10"/>
      <c r="L340" s="11"/>
    </row>
    <row r="341" spans="2:12" x14ac:dyDescent="0.3">
      <c r="B341" s="12" t="s">
        <v>90</v>
      </c>
      <c r="C341" s="12" t="s">
        <v>208</v>
      </c>
      <c r="D341" s="12" t="s">
        <v>208</v>
      </c>
      <c r="E341" s="12" t="s">
        <v>18</v>
      </c>
      <c r="F341" s="14">
        <v>46111</v>
      </c>
      <c r="H341" s="10"/>
      <c r="I341" s="10"/>
      <c r="J341" s="10"/>
      <c r="K341" s="10"/>
      <c r="L341" s="11"/>
    </row>
    <row r="342" spans="2:12" x14ac:dyDescent="0.3">
      <c r="B342" s="12" t="s">
        <v>91</v>
      </c>
      <c r="C342" s="12" t="s">
        <v>205</v>
      </c>
      <c r="D342" s="12" t="s">
        <v>205</v>
      </c>
      <c r="E342" s="12" t="s">
        <v>19</v>
      </c>
      <c r="F342" s="14">
        <v>46114</v>
      </c>
      <c r="H342" s="10"/>
      <c r="I342" s="10"/>
      <c r="J342" s="10"/>
      <c r="K342" s="10"/>
      <c r="L342" s="11"/>
    </row>
    <row r="343" spans="2:12" x14ac:dyDescent="0.3">
      <c r="B343" s="12" t="s">
        <v>92</v>
      </c>
      <c r="C343" s="12" t="s">
        <v>24</v>
      </c>
      <c r="D343" s="12" t="s">
        <v>24</v>
      </c>
      <c r="E343" s="12" t="s">
        <v>18</v>
      </c>
      <c r="F343" s="14">
        <v>46118</v>
      </c>
      <c r="H343" s="10"/>
      <c r="I343" s="10"/>
      <c r="J343" s="10"/>
      <c r="K343" s="10"/>
      <c r="L343" s="11"/>
    </row>
    <row r="344" spans="2:12" x14ac:dyDescent="0.3">
      <c r="B344" s="12" t="s">
        <v>93</v>
      </c>
      <c r="C344" s="12" t="s">
        <v>206</v>
      </c>
      <c r="D344" s="12" t="s">
        <v>206</v>
      </c>
      <c r="E344" s="12" t="s">
        <v>19</v>
      </c>
      <c r="F344" s="14">
        <v>46121</v>
      </c>
      <c r="H344" s="10"/>
      <c r="I344" s="10"/>
      <c r="J344" s="10"/>
      <c r="K344" s="10"/>
      <c r="L344" s="11"/>
    </row>
    <row r="345" spans="2:12" x14ac:dyDescent="0.3">
      <c r="B345" s="12" t="s">
        <v>4</v>
      </c>
      <c r="C345" s="12" t="s">
        <v>25</v>
      </c>
      <c r="D345" s="12" t="s">
        <v>25</v>
      </c>
      <c r="E345" s="12" t="s">
        <v>19</v>
      </c>
      <c r="F345" s="14">
        <v>46125</v>
      </c>
      <c r="H345" s="10"/>
      <c r="I345" s="10"/>
      <c r="J345" s="10"/>
      <c r="K345" s="10"/>
      <c r="L345" s="11"/>
    </row>
    <row r="346" spans="2:12" x14ac:dyDescent="0.3">
      <c r="B346" s="12" t="s">
        <v>94</v>
      </c>
      <c r="C346" s="12" t="s">
        <v>22</v>
      </c>
      <c r="D346" s="12" t="s">
        <v>22</v>
      </c>
      <c r="E346" s="12" t="s">
        <v>19</v>
      </c>
      <c r="F346" s="14">
        <v>46128</v>
      </c>
      <c r="H346" s="10"/>
      <c r="I346" s="10"/>
      <c r="J346" s="10"/>
      <c r="K346" s="10"/>
      <c r="L346" s="11"/>
    </row>
    <row r="347" spans="2:12" x14ac:dyDescent="0.3">
      <c r="B347" s="12" t="s">
        <v>95</v>
      </c>
      <c r="C347" s="12" t="s">
        <v>22</v>
      </c>
      <c r="D347" s="12" t="s">
        <v>22</v>
      </c>
      <c r="E347" s="12" t="s">
        <v>20</v>
      </c>
      <c r="F347" s="14">
        <v>46132</v>
      </c>
      <c r="H347" s="10"/>
      <c r="I347" s="10"/>
      <c r="J347" s="10"/>
      <c r="K347" s="10"/>
      <c r="L347" s="11"/>
    </row>
    <row r="348" spans="2:12" x14ac:dyDescent="0.3">
      <c r="B348" s="12" t="s">
        <v>96</v>
      </c>
      <c r="C348" s="12" t="s">
        <v>207</v>
      </c>
      <c r="D348" s="12" t="s">
        <v>207</v>
      </c>
      <c r="E348" s="12" t="s">
        <v>20</v>
      </c>
      <c r="F348" s="14">
        <v>46135</v>
      </c>
      <c r="H348" s="10"/>
      <c r="I348" s="10"/>
      <c r="J348" s="10"/>
      <c r="K348" s="10"/>
      <c r="L348" s="11"/>
    </row>
    <row r="349" spans="2:12" x14ac:dyDescent="0.3">
      <c r="B349" s="12" t="s">
        <v>97</v>
      </c>
      <c r="C349" s="12" t="s">
        <v>206</v>
      </c>
      <c r="D349" s="12" t="s">
        <v>206</v>
      </c>
      <c r="E349" s="12" t="s">
        <v>19</v>
      </c>
      <c r="F349" s="14">
        <v>46139</v>
      </c>
      <c r="H349" s="10"/>
      <c r="I349" s="10"/>
      <c r="J349" s="10"/>
      <c r="K349" s="10"/>
      <c r="L349" s="11"/>
    </row>
    <row r="350" spans="2:12" x14ac:dyDescent="0.3">
      <c r="B350" s="12" t="s">
        <v>98</v>
      </c>
      <c r="C350" s="12" t="s">
        <v>206</v>
      </c>
      <c r="D350" s="12" t="s">
        <v>206</v>
      </c>
      <c r="E350" s="12" t="s">
        <v>20</v>
      </c>
      <c r="F350" s="14">
        <v>46142</v>
      </c>
      <c r="H350" s="10"/>
      <c r="I350" s="10"/>
      <c r="J350" s="10"/>
      <c r="K350" s="10"/>
      <c r="L350" s="11"/>
    </row>
    <row r="351" spans="2:12" x14ac:dyDescent="0.3">
      <c r="B351" s="12" t="s">
        <v>99</v>
      </c>
      <c r="C351" s="12" t="s">
        <v>26</v>
      </c>
      <c r="D351" s="12" t="s">
        <v>26</v>
      </c>
      <c r="E351" s="12" t="s">
        <v>19</v>
      </c>
      <c r="F351" s="14">
        <v>46146</v>
      </c>
      <c r="H351" s="10"/>
      <c r="I351" s="10"/>
      <c r="J351" s="10"/>
      <c r="K351" s="10"/>
      <c r="L351" s="11"/>
    </row>
    <row r="352" spans="2:12" x14ac:dyDescent="0.3">
      <c r="B352" s="12" t="s">
        <v>100</v>
      </c>
      <c r="C352" s="12" t="s">
        <v>24</v>
      </c>
      <c r="D352" s="12" t="s">
        <v>24</v>
      </c>
      <c r="E352" s="12" t="s">
        <v>18</v>
      </c>
      <c r="F352" s="14">
        <v>46149</v>
      </c>
      <c r="H352" s="10"/>
      <c r="I352" s="10"/>
      <c r="J352" s="10"/>
      <c r="K352" s="10"/>
      <c r="L352" s="11"/>
    </row>
    <row r="353" spans="2:12" x14ac:dyDescent="0.3">
      <c r="B353" s="12" t="s">
        <v>101</v>
      </c>
      <c r="C353" s="12" t="s">
        <v>205</v>
      </c>
      <c r="D353" s="12" t="s">
        <v>205</v>
      </c>
      <c r="E353" s="12" t="s">
        <v>19</v>
      </c>
      <c r="F353" s="14">
        <v>46153</v>
      </c>
      <c r="H353" s="10"/>
      <c r="I353" s="10"/>
      <c r="J353" s="10"/>
      <c r="K353" s="10"/>
      <c r="L353" s="11"/>
    </row>
    <row r="354" spans="2:12" x14ac:dyDescent="0.3">
      <c r="B354" s="12" t="s">
        <v>102</v>
      </c>
      <c r="C354" s="12" t="s">
        <v>208</v>
      </c>
      <c r="D354" s="12" t="s">
        <v>208</v>
      </c>
      <c r="E354" s="12" t="s">
        <v>19</v>
      </c>
      <c r="F354" s="14">
        <v>46156</v>
      </c>
      <c r="H354" s="10"/>
      <c r="I354" s="10"/>
      <c r="J354" s="10"/>
      <c r="K354" s="10"/>
      <c r="L354" s="11"/>
    </row>
    <row r="355" spans="2:12" x14ac:dyDescent="0.3">
      <c r="B355" s="12" t="s">
        <v>103</v>
      </c>
      <c r="C355" s="12" t="s">
        <v>207</v>
      </c>
      <c r="D355" s="12" t="s">
        <v>207</v>
      </c>
      <c r="E355" s="12" t="s">
        <v>19</v>
      </c>
      <c r="F355" s="14">
        <v>46160</v>
      </c>
      <c r="H355" s="10"/>
      <c r="I355" s="10"/>
      <c r="J355" s="10"/>
      <c r="K355" s="10"/>
      <c r="L355" s="11"/>
    </row>
    <row r="356" spans="2:12" x14ac:dyDescent="0.3">
      <c r="B356" s="12" t="s">
        <v>104</v>
      </c>
      <c r="C356" s="12" t="s">
        <v>208</v>
      </c>
      <c r="D356" s="12" t="s">
        <v>208</v>
      </c>
      <c r="E356" s="12" t="s">
        <v>18</v>
      </c>
      <c r="F356" s="14">
        <v>46163</v>
      </c>
      <c r="H356" s="10"/>
      <c r="I356" s="10"/>
      <c r="J356" s="10"/>
      <c r="K356" s="10"/>
      <c r="L356" s="11"/>
    </row>
    <row r="357" spans="2:12" x14ac:dyDescent="0.3">
      <c r="B357" s="12" t="s">
        <v>30</v>
      </c>
      <c r="C357" s="12" t="s">
        <v>23</v>
      </c>
      <c r="D357" s="12" t="s">
        <v>23</v>
      </c>
      <c r="E357" s="12" t="s">
        <v>19</v>
      </c>
      <c r="F357" s="14">
        <v>46167</v>
      </c>
      <c r="H357" s="10"/>
      <c r="I357" s="10"/>
      <c r="J357" s="10"/>
      <c r="K357" s="10"/>
      <c r="L357" s="11"/>
    </row>
    <row r="358" spans="2:12" x14ac:dyDescent="0.3">
      <c r="B358" s="12" t="s">
        <v>105</v>
      </c>
      <c r="C358" s="12" t="s">
        <v>23</v>
      </c>
      <c r="D358" s="12" t="s">
        <v>23</v>
      </c>
      <c r="E358" s="12" t="s">
        <v>20</v>
      </c>
      <c r="F358" s="14">
        <v>46170</v>
      </c>
      <c r="H358" s="10"/>
      <c r="I358" s="10"/>
      <c r="J358" s="10"/>
      <c r="K358" s="10"/>
      <c r="L358" s="11"/>
    </row>
    <row r="359" spans="2:12" x14ac:dyDescent="0.3">
      <c r="B359" s="12" t="s">
        <v>106</v>
      </c>
      <c r="C359" s="12" t="s">
        <v>24</v>
      </c>
      <c r="D359" s="12" t="s">
        <v>24</v>
      </c>
      <c r="E359" s="12" t="s">
        <v>18</v>
      </c>
      <c r="F359" s="14">
        <v>46174</v>
      </c>
      <c r="H359" s="10"/>
      <c r="I359" s="10"/>
      <c r="J359" s="10"/>
      <c r="K359" s="10"/>
      <c r="L359" s="11"/>
    </row>
    <row r="360" spans="2:12" x14ac:dyDescent="0.3">
      <c r="B360" s="12" t="s">
        <v>107</v>
      </c>
      <c r="C360" s="12" t="s">
        <v>26</v>
      </c>
      <c r="D360" s="12" t="s">
        <v>26</v>
      </c>
      <c r="E360" s="12" t="s">
        <v>19</v>
      </c>
      <c r="F360" s="14">
        <v>46177</v>
      </c>
      <c r="H360" s="10"/>
      <c r="I360" s="10"/>
      <c r="J360" s="10"/>
      <c r="K360" s="10"/>
      <c r="L360" s="11"/>
    </row>
    <row r="361" spans="2:12" x14ac:dyDescent="0.3">
      <c r="B361" s="12" t="s">
        <v>108</v>
      </c>
      <c r="C361" s="12" t="s">
        <v>23</v>
      </c>
      <c r="D361" s="12" t="s">
        <v>23</v>
      </c>
      <c r="E361" s="12" t="s">
        <v>19</v>
      </c>
      <c r="F361" s="14">
        <v>46181</v>
      </c>
      <c r="H361" s="10"/>
      <c r="I361" s="10"/>
      <c r="J361" s="10"/>
      <c r="K361" s="10"/>
      <c r="L361" s="11"/>
    </row>
    <row r="362" spans="2:12" x14ac:dyDescent="0.3">
      <c r="B362" s="12" t="s">
        <v>109</v>
      </c>
      <c r="C362" s="12" t="s">
        <v>24</v>
      </c>
      <c r="D362" s="12" t="s">
        <v>24</v>
      </c>
      <c r="E362" s="12" t="s">
        <v>18</v>
      </c>
      <c r="F362" s="14">
        <v>46184</v>
      </c>
      <c r="H362" s="10"/>
      <c r="I362" s="10"/>
      <c r="J362" s="10"/>
      <c r="K362" s="10"/>
      <c r="L362" s="11"/>
    </row>
    <row r="363" spans="2:12" x14ac:dyDescent="0.3">
      <c r="B363" s="12" t="s">
        <v>110</v>
      </c>
      <c r="C363" s="12" t="s">
        <v>206</v>
      </c>
      <c r="D363" s="12" t="s">
        <v>206</v>
      </c>
      <c r="E363" s="12" t="s">
        <v>19</v>
      </c>
      <c r="F363" s="14">
        <v>46188</v>
      </c>
      <c r="H363" s="10"/>
      <c r="I363" s="10"/>
      <c r="J363" s="10"/>
      <c r="K363" s="10"/>
      <c r="L363" s="11"/>
    </row>
    <row r="364" spans="2:12" x14ac:dyDescent="0.3">
      <c r="B364" s="12" t="s">
        <v>111</v>
      </c>
      <c r="C364" s="12" t="s">
        <v>205</v>
      </c>
      <c r="D364" s="12" t="s">
        <v>205</v>
      </c>
      <c r="E364" s="12" t="s">
        <v>19</v>
      </c>
      <c r="F364" s="14">
        <v>46191</v>
      </c>
      <c r="H364" s="10"/>
      <c r="I364" s="10"/>
      <c r="J364" s="10"/>
      <c r="K364" s="10"/>
      <c r="L364" s="11"/>
    </row>
    <row r="365" spans="2:12" x14ac:dyDescent="0.3">
      <c r="B365" s="12" t="s">
        <v>112</v>
      </c>
      <c r="C365" s="12" t="s">
        <v>26</v>
      </c>
      <c r="D365" s="12" t="s">
        <v>26</v>
      </c>
      <c r="E365" s="12" t="s">
        <v>19</v>
      </c>
      <c r="F365" s="14">
        <v>46195</v>
      </c>
      <c r="H365" s="10"/>
      <c r="I365" s="10"/>
      <c r="J365" s="10"/>
      <c r="K365" s="10"/>
      <c r="L365" s="11"/>
    </row>
    <row r="366" spans="2:12" x14ac:dyDescent="0.3">
      <c r="B366" s="12" t="s">
        <v>113</v>
      </c>
      <c r="C366" s="12" t="s">
        <v>206</v>
      </c>
      <c r="D366" s="12" t="s">
        <v>206</v>
      </c>
      <c r="E366" s="12" t="s">
        <v>20</v>
      </c>
      <c r="F366" s="14">
        <v>46198</v>
      </c>
      <c r="H366" s="10"/>
      <c r="I366" s="10"/>
      <c r="J366" s="10"/>
      <c r="K366" s="10"/>
      <c r="L366" s="11"/>
    </row>
    <row r="367" spans="2:12" x14ac:dyDescent="0.3">
      <c r="B367" s="12" t="s">
        <v>114</v>
      </c>
      <c r="C367" s="12" t="s">
        <v>26</v>
      </c>
      <c r="D367" s="12" t="s">
        <v>26</v>
      </c>
      <c r="E367" s="12" t="s">
        <v>19</v>
      </c>
      <c r="F367" s="14">
        <v>46202</v>
      </c>
      <c r="H367" s="10"/>
      <c r="I367" s="10"/>
      <c r="J367" s="10"/>
      <c r="K367" s="10"/>
      <c r="L367" s="11"/>
    </row>
    <row r="368" spans="2:12" x14ac:dyDescent="0.3">
      <c r="B368" s="12" t="s">
        <v>115</v>
      </c>
      <c r="C368" s="12" t="s">
        <v>208</v>
      </c>
      <c r="D368" s="12" t="s">
        <v>208</v>
      </c>
      <c r="E368" s="12" t="s">
        <v>18</v>
      </c>
      <c r="F368" s="14">
        <v>46205</v>
      </c>
      <c r="H368" s="10"/>
      <c r="I368" s="10"/>
      <c r="J368" s="10"/>
      <c r="K368" s="10"/>
      <c r="L368" s="11"/>
    </row>
    <row r="369" spans="2:12" x14ac:dyDescent="0.3">
      <c r="B369" s="12" t="s">
        <v>45</v>
      </c>
      <c r="C369" s="12" t="s">
        <v>24</v>
      </c>
      <c r="D369" s="12" t="s">
        <v>24</v>
      </c>
      <c r="E369" s="12" t="s">
        <v>19</v>
      </c>
      <c r="F369" s="14">
        <v>46209</v>
      </c>
      <c r="H369" s="10"/>
      <c r="I369" s="10"/>
      <c r="J369" s="10"/>
      <c r="K369" s="10"/>
      <c r="L369" s="11"/>
    </row>
    <row r="370" spans="2:12" x14ac:dyDescent="0.3">
      <c r="B370" s="12" t="s">
        <v>116</v>
      </c>
      <c r="C370" s="12" t="s">
        <v>22</v>
      </c>
      <c r="D370" s="12" t="s">
        <v>22</v>
      </c>
      <c r="E370" s="12" t="s">
        <v>20</v>
      </c>
      <c r="F370" s="14">
        <v>46212</v>
      </c>
      <c r="H370" s="10"/>
      <c r="I370" s="10"/>
      <c r="J370" s="10"/>
      <c r="K370" s="10"/>
      <c r="L370" s="11"/>
    </row>
    <row r="371" spans="2:12" x14ac:dyDescent="0.3">
      <c r="B371" s="12" t="s">
        <v>117</v>
      </c>
      <c r="C371" s="12" t="s">
        <v>205</v>
      </c>
      <c r="D371" s="12" t="s">
        <v>205</v>
      </c>
      <c r="E371" s="12" t="s">
        <v>19</v>
      </c>
      <c r="F371" s="14">
        <v>46216</v>
      </c>
      <c r="H371" s="10"/>
      <c r="I371" s="10"/>
      <c r="J371" s="10"/>
      <c r="K371" s="10"/>
      <c r="L371" s="11"/>
    </row>
    <row r="372" spans="2:12" x14ac:dyDescent="0.3">
      <c r="B372" s="12" t="s">
        <v>46</v>
      </c>
      <c r="C372" s="12" t="s">
        <v>23</v>
      </c>
      <c r="D372" s="12" t="s">
        <v>23</v>
      </c>
      <c r="E372" s="12" t="s">
        <v>20</v>
      </c>
      <c r="F372" s="14">
        <v>46219</v>
      </c>
      <c r="H372" s="10"/>
      <c r="I372" s="10"/>
      <c r="J372" s="10"/>
      <c r="K372" s="10"/>
      <c r="L372" s="11"/>
    </row>
    <row r="373" spans="2:12" x14ac:dyDescent="0.3">
      <c r="B373" s="12" t="s">
        <v>118</v>
      </c>
      <c r="C373" s="12" t="s">
        <v>25</v>
      </c>
      <c r="D373" s="12" t="s">
        <v>25</v>
      </c>
      <c r="E373" s="12" t="s">
        <v>20</v>
      </c>
      <c r="F373" s="14">
        <v>46223</v>
      </c>
      <c r="H373" s="10"/>
      <c r="I373" s="10"/>
      <c r="J373" s="10"/>
      <c r="K373" s="10"/>
      <c r="L373" s="11"/>
    </row>
    <row r="374" spans="2:12" x14ac:dyDescent="0.3">
      <c r="B374" s="12" t="s">
        <v>119</v>
      </c>
      <c r="C374" s="12" t="s">
        <v>22</v>
      </c>
      <c r="D374" s="12" t="s">
        <v>22</v>
      </c>
      <c r="E374" s="12" t="s">
        <v>19</v>
      </c>
      <c r="F374" s="14">
        <v>46226</v>
      </c>
      <c r="H374" s="10"/>
      <c r="I374" s="10"/>
      <c r="J374" s="10"/>
      <c r="K374" s="10"/>
      <c r="L374" s="11"/>
    </row>
    <row r="375" spans="2:12" x14ac:dyDescent="0.3">
      <c r="B375" s="12" t="s">
        <v>120</v>
      </c>
      <c r="C375" s="12" t="s">
        <v>208</v>
      </c>
      <c r="D375" s="12" t="s">
        <v>208</v>
      </c>
      <c r="E375" s="12" t="s">
        <v>18</v>
      </c>
      <c r="F375" s="14">
        <v>46230</v>
      </c>
      <c r="H375" s="10"/>
      <c r="I375" s="10"/>
      <c r="J375" s="10"/>
      <c r="K375" s="10"/>
      <c r="L375" s="11"/>
    </row>
    <row r="376" spans="2:12" x14ac:dyDescent="0.3">
      <c r="B376" s="12" t="s">
        <v>121</v>
      </c>
      <c r="C376" s="12" t="s">
        <v>24</v>
      </c>
      <c r="D376" s="12" t="s">
        <v>24</v>
      </c>
      <c r="E376" s="12" t="s">
        <v>18</v>
      </c>
      <c r="F376" s="14">
        <v>46233</v>
      </c>
      <c r="H376" s="10"/>
      <c r="I376" s="10"/>
      <c r="J376" s="10"/>
      <c r="K376" s="10"/>
      <c r="L376" s="11"/>
    </row>
    <row r="377" spans="2:12" x14ac:dyDescent="0.3">
      <c r="B377" s="12" t="s">
        <v>122</v>
      </c>
      <c r="C377" s="12" t="s">
        <v>207</v>
      </c>
      <c r="D377" s="12" t="s">
        <v>207</v>
      </c>
      <c r="E377" s="12" t="s">
        <v>19</v>
      </c>
      <c r="F377" s="14">
        <v>46237</v>
      </c>
      <c r="H377" s="10"/>
      <c r="I377" s="10"/>
      <c r="J377" s="10"/>
      <c r="K377" s="10"/>
      <c r="L377" s="11"/>
    </row>
    <row r="378" spans="2:12" x14ac:dyDescent="0.3">
      <c r="B378" s="12" t="s">
        <v>47</v>
      </c>
      <c r="C378" s="12" t="s">
        <v>26</v>
      </c>
      <c r="D378" s="12" t="s">
        <v>26</v>
      </c>
      <c r="E378" s="12" t="s">
        <v>19</v>
      </c>
      <c r="F378" s="14">
        <v>46238</v>
      </c>
      <c r="H378" s="10"/>
      <c r="I378" s="10"/>
      <c r="J378" s="10"/>
      <c r="K378" s="10"/>
      <c r="L378" s="11"/>
    </row>
    <row r="379" spans="2:12" x14ac:dyDescent="0.3">
      <c r="B379" s="12" t="s">
        <v>123</v>
      </c>
      <c r="C379" s="12" t="s">
        <v>22</v>
      </c>
      <c r="D379" s="12" t="s">
        <v>22</v>
      </c>
      <c r="E379" s="12" t="s">
        <v>18</v>
      </c>
      <c r="F379" s="14">
        <v>46239</v>
      </c>
      <c r="H379" s="10"/>
      <c r="I379" s="10"/>
      <c r="J379" s="10"/>
      <c r="K379" s="10"/>
      <c r="L379" s="11"/>
    </row>
    <row r="380" spans="2:12" x14ac:dyDescent="0.3">
      <c r="B380" s="12" t="s">
        <v>124</v>
      </c>
      <c r="C380" s="12" t="s">
        <v>26</v>
      </c>
      <c r="D380" s="12" t="s">
        <v>26</v>
      </c>
      <c r="E380" s="12" t="s">
        <v>19</v>
      </c>
      <c r="F380" s="14">
        <v>46240</v>
      </c>
      <c r="H380" s="10"/>
      <c r="I380" s="10"/>
      <c r="J380" s="10"/>
      <c r="K380" s="10"/>
      <c r="L380" s="11"/>
    </row>
    <row r="381" spans="2:12" x14ac:dyDescent="0.3">
      <c r="B381" s="12" t="s">
        <v>125</v>
      </c>
      <c r="C381" s="12" t="s">
        <v>26</v>
      </c>
      <c r="D381" s="12" t="s">
        <v>26</v>
      </c>
      <c r="E381" s="12" t="s">
        <v>20</v>
      </c>
      <c r="F381" s="14">
        <v>46241</v>
      </c>
      <c r="H381" s="10"/>
      <c r="I381" s="10"/>
      <c r="J381" s="10"/>
      <c r="K381" s="10"/>
      <c r="L381" s="11"/>
    </row>
    <row r="382" spans="2:12" x14ac:dyDescent="0.3">
      <c r="B382" s="12" t="s">
        <v>5</v>
      </c>
      <c r="C382" s="12" t="s">
        <v>25</v>
      </c>
      <c r="D382" s="12" t="s">
        <v>25</v>
      </c>
      <c r="E382" s="12" t="s">
        <v>20</v>
      </c>
      <c r="F382" s="14">
        <v>46242</v>
      </c>
      <c r="H382" s="10"/>
      <c r="I382" s="10"/>
      <c r="J382" s="10"/>
      <c r="K382" s="10"/>
      <c r="L382" s="11"/>
    </row>
    <row r="383" spans="2:12" x14ac:dyDescent="0.3">
      <c r="B383" s="12" t="s">
        <v>49</v>
      </c>
      <c r="C383" s="12" t="s">
        <v>22</v>
      </c>
      <c r="D383" s="12" t="s">
        <v>22</v>
      </c>
      <c r="E383" s="12" t="s">
        <v>19</v>
      </c>
      <c r="F383" s="14">
        <v>46243</v>
      </c>
      <c r="H383" s="10"/>
      <c r="I383" s="10"/>
      <c r="J383" s="10"/>
      <c r="K383" s="10"/>
      <c r="L383" s="11"/>
    </row>
    <row r="384" spans="2:12" x14ac:dyDescent="0.3">
      <c r="B384" s="12" t="s">
        <v>126</v>
      </c>
      <c r="C384" s="12" t="s">
        <v>24</v>
      </c>
      <c r="D384" s="12" t="s">
        <v>24</v>
      </c>
      <c r="E384" s="12" t="s">
        <v>18</v>
      </c>
      <c r="F384" s="14">
        <v>46244</v>
      </c>
      <c r="H384" s="10"/>
      <c r="I384" s="10"/>
      <c r="J384" s="10"/>
      <c r="K384" s="10"/>
      <c r="L384" s="11"/>
    </row>
    <row r="385" spans="2:12" x14ac:dyDescent="0.3">
      <c r="B385" s="12" t="s">
        <v>127</v>
      </c>
      <c r="C385" s="12" t="s">
        <v>208</v>
      </c>
      <c r="D385" s="12" t="s">
        <v>208</v>
      </c>
      <c r="E385" s="12" t="s">
        <v>18</v>
      </c>
      <c r="F385" s="14">
        <v>46245</v>
      </c>
      <c r="H385" s="10"/>
      <c r="I385" s="10"/>
      <c r="J385" s="10"/>
      <c r="K385" s="10"/>
      <c r="L385" s="11"/>
    </row>
    <row r="386" spans="2:12" x14ac:dyDescent="0.3">
      <c r="B386" s="12" t="s">
        <v>128</v>
      </c>
      <c r="C386" s="12" t="s">
        <v>26</v>
      </c>
      <c r="D386" s="12" t="s">
        <v>26</v>
      </c>
      <c r="E386" s="12" t="s">
        <v>19</v>
      </c>
      <c r="F386" s="14">
        <v>46246</v>
      </c>
      <c r="H386" s="10"/>
      <c r="I386" s="10"/>
      <c r="J386" s="10"/>
      <c r="K386" s="10"/>
      <c r="L386" s="11"/>
    </row>
    <row r="387" spans="2:12" x14ac:dyDescent="0.3">
      <c r="B387" s="12" t="s">
        <v>129</v>
      </c>
      <c r="C387" s="12" t="s">
        <v>25</v>
      </c>
      <c r="D387" s="12" t="s">
        <v>25</v>
      </c>
      <c r="E387" s="12" t="s">
        <v>18</v>
      </c>
      <c r="F387" s="14">
        <v>46247</v>
      </c>
      <c r="H387" s="10"/>
      <c r="I387" s="10"/>
      <c r="J387" s="10"/>
      <c r="K387" s="10"/>
      <c r="L387" s="11"/>
    </row>
    <row r="388" spans="2:12" x14ac:dyDescent="0.3">
      <c r="B388" s="12" t="s">
        <v>130</v>
      </c>
      <c r="C388" s="12" t="s">
        <v>25</v>
      </c>
      <c r="D388" s="12" t="s">
        <v>25</v>
      </c>
      <c r="E388" s="12" t="s">
        <v>19</v>
      </c>
      <c r="F388" s="14">
        <v>46248</v>
      </c>
      <c r="H388" s="10"/>
      <c r="I388" s="10"/>
      <c r="J388" s="10"/>
      <c r="K388" s="10"/>
      <c r="L388" s="11"/>
    </row>
    <row r="389" spans="2:12" x14ac:dyDescent="0.3">
      <c r="B389" s="12" t="s">
        <v>50</v>
      </c>
      <c r="C389" s="12" t="s">
        <v>26</v>
      </c>
      <c r="D389" s="12" t="s">
        <v>26</v>
      </c>
      <c r="E389" s="12" t="s">
        <v>19</v>
      </c>
      <c r="F389" s="14">
        <v>46249</v>
      </c>
      <c r="H389" s="10"/>
      <c r="I389" s="10"/>
      <c r="J389" s="10"/>
      <c r="K389" s="10"/>
      <c r="L389" s="11"/>
    </row>
    <row r="390" spans="2:12" x14ac:dyDescent="0.3">
      <c r="B390" s="12" t="s">
        <v>131</v>
      </c>
      <c r="C390" s="12" t="s">
        <v>207</v>
      </c>
      <c r="D390" s="12" t="s">
        <v>207</v>
      </c>
      <c r="E390" s="12" t="s">
        <v>20</v>
      </c>
      <c r="F390" s="14">
        <v>46250</v>
      </c>
      <c r="H390" s="10"/>
      <c r="I390" s="10"/>
      <c r="J390" s="10"/>
      <c r="K390" s="10"/>
      <c r="L390" s="11"/>
    </row>
    <row r="391" spans="2:12" x14ac:dyDescent="0.3">
      <c r="B391" s="12" t="s">
        <v>132</v>
      </c>
      <c r="C391" s="12" t="s">
        <v>26</v>
      </c>
      <c r="D391" s="12" t="s">
        <v>26</v>
      </c>
      <c r="E391" s="12" t="s">
        <v>19</v>
      </c>
      <c r="F391" s="14">
        <v>46251</v>
      </c>
      <c r="H391" s="10"/>
      <c r="I391" s="10"/>
      <c r="J391" s="10"/>
      <c r="K391" s="10"/>
      <c r="L391" s="11"/>
    </row>
    <row r="392" spans="2:12" x14ac:dyDescent="0.3">
      <c r="B392" s="12" t="s">
        <v>51</v>
      </c>
      <c r="C392" s="12" t="s">
        <v>207</v>
      </c>
      <c r="D392" s="12" t="s">
        <v>207</v>
      </c>
      <c r="E392" s="12" t="s">
        <v>19</v>
      </c>
      <c r="F392" s="14">
        <v>46032</v>
      </c>
      <c r="H392" s="10"/>
      <c r="I392" s="10"/>
      <c r="J392" s="10"/>
      <c r="K392" s="10"/>
      <c r="L392" s="11"/>
    </row>
    <row r="393" spans="2:12" x14ac:dyDescent="0.3">
      <c r="B393" s="12" t="s">
        <v>133</v>
      </c>
      <c r="C393" s="12" t="s">
        <v>22</v>
      </c>
      <c r="D393" s="12" t="s">
        <v>22</v>
      </c>
      <c r="E393" s="12" t="s">
        <v>20</v>
      </c>
      <c r="F393" s="14">
        <v>46036</v>
      </c>
      <c r="H393" s="10"/>
      <c r="I393" s="10"/>
      <c r="J393" s="10"/>
      <c r="K393" s="10"/>
      <c r="L393" s="11"/>
    </row>
    <row r="394" spans="2:12" x14ac:dyDescent="0.3">
      <c r="B394" s="12" t="s">
        <v>52</v>
      </c>
      <c r="C394" s="12" t="s">
        <v>23</v>
      </c>
      <c r="D394" s="12" t="s">
        <v>23</v>
      </c>
      <c r="E394" s="12" t="s">
        <v>19</v>
      </c>
      <c r="F394" s="14">
        <v>46040</v>
      </c>
      <c r="H394" s="10"/>
      <c r="I394" s="10"/>
      <c r="J394" s="10"/>
      <c r="K394" s="10"/>
      <c r="L394" s="11"/>
    </row>
    <row r="395" spans="2:12" x14ac:dyDescent="0.3">
      <c r="B395" s="12" t="s">
        <v>134</v>
      </c>
      <c r="C395" s="12" t="s">
        <v>26</v>
      </c>
      <c r="D395" s="12" t="s">
        <v>26</v>
      </c>
      <c r="E395" s="12" t="s">
        <v>19</v>
      </c>
      <c r="F395" s="14">
        <v>46044</v>
      </c>
      <c r="H395" s="10"/>
      <c r="I395" s="10"/>
      <c r="J395" s="10"/>
      <c r="K395" s="10"/>
      <c r="L395" s="11"/>
    </row>
    <row r="396" spans="2:12" x14ac:dyDescent="0.3">
      <c r="B396" s="12" t="s">
        <v>135</v>
      </c>
      <c r="C396" s="12" t="s">
        <v>23</v>
      </c>
      <c r="D396" s="12" t="s">
        <v>23</v>
      </c>
      <c r="E396" s="12" t="s">
        <v>20</v>
      </c>
      <c r="F396" s="14">
        <v>46048</v>
      </c>
      <c r="H396" s="10"/>
      <c r="I396" s="10"/>
      <c r="J396" s="10"/>
      <c r="K396" s="10"/>
      <c r="L396" s="11"/>
    </row>
    <row r="397" spans="2:12" x14ac:dyDescent="0.3">
      <c r="B397" s="12" t="s">
        <v>136</v>
      </c>
      <c r="C397" s="12" t="s">
        <v>205</v>
      </c>
      <c r="D397" s="12" t="s">
        <v>205</v>
      </c>
      <c r="E397" s="12" t="s">
        <v>19</v>
      </c>
      <c r="F397" s="14">
        <v>46052</v>
      </c>
      <c r="H397" s="10"/>
      <c r="I397" s="10"/>
      <c r="J397" s="10"/>
      <c r="K397" s="10"/>
      <c r="L397" s="11"/>
    </row>
    <row r="398" spans="2:12" x14ac:dyDescent="0.3">
      <c r="B398" s="12" t="s">
        <v>137</v>
      </c>
      <c r="C398" s="12" t="s">
        <v>208</v>
      </c>
      <c r="D398" s="12" t="s">
        <v>208</v>
      </c>
      <c r="E398" s="12" t="s">
        <v>18</v>
      </c>
      <c r="F398" s="14">
        <v>46056</v>
      </c>
      <c r="H398" s="10"/>
      <c r="I398" s="10"/>
      <c r="J398" s="10"/>
      <c r="K398" s="10"/>
      <c r="L398" s="11"/>
    </row>
    <row r="399" spans="2:12" x14ac:dyDescent="0.3">
      <c r="B399" s="12" t="s">
        <v>138</v>
      </c>
      <c r="C399" s="12" t="s">
        <v>206</v>
      </c>
      <c r="D399" s="12" t="s">
        <v>206</v>
      </c>
      <c r="E399" s="12" t="s">
        <v>19</v>
      </c>
      <c r="F399" s="14">
        <v>46060</v>
      </c>
      <c r="H399" s="10"/>
      <c r="I399" s="10"/>
      <c r="J399" s="10"/>
      <c r="K399" s="10"/>
      <c r="L399" s="11"/>
    </row>
    <row r="400" spans="2:12" x14ac:dyDescent="0.3">
      <c r="B400" s="12" t="s">
        <v>139</v>
      </c>
      <c r="C400" s="12" t="s">
        <v>24</v>
      </c>
      <c r="D400" s="12" t="s">
        <v>24</v>
      </c>
      <c r="E400" s="12" t="s">
        <v>18</v>
      </c>
      <c r="F400" s="14">
        <v>46064</v>
      </c>
      <c r="H400" s="10"/>
      <c r="I400" s="10"/>
      <c r="J400" s="10"/>
      <c r="K400" s="10"/>
      <c r="L400" s="11"/>
    </row>
    <row r="401" spans="2:12" x14ac:dyDescent="0.3">
      <c r="B401" s="12" t="s">
        <v>140</v>
      </c>
      <c r="C401" s="12" t="s">
        <v>23</v>
      </c>
      <c r="D401" s="12" t="s">
        <v>23</v>
      </c>
      <c r="E401" s="12" t="s">
        <v>19</v>
      </c>
      <c r="F401" s="14">
        <v>46068</v>
      </c>
      <c r="H401" s="10"/>
      <c r="I401" s="10"/>
      <c r="J401" s="10"/>
      <c r="K401" s="10"/>
      <c r="L401" s="11"/>
    </row>
    <row r="402" spans="2:12" x14ac:dyDescent="0.3">
      <c r="B402" s="12" t="s">
        <v>141</v>
      </c>
      <c r="C402" s="12" t="s">
        <v>208</v>
      </c>
      <c r="D402" s="12" t="s">
        <v>208</v>
      </c>
      <c r="E402" s="12" t="s">
        <v>20</v>
      </c>
      <c r="F402" s="14">
        <v>46072</v>
      </c>
      <c r="H402" s="10"/>
      <c r="I402" s="10"/>
      <c r="J402" s="10"/>
      <c r="K402" s="10"/>
      <c r="L402" s="11"/>
    </row>
    <row r="403" spans="2:12" x14ac:dyDescent="0.3">
      <c r="B403" s="12" t="s">
        <v>142</v>
      </c>
      <c r="C403" s="12" t="s">
        <v>24</v>
      </c>
      <c r="D403" s="12" t="s">
        <v>24</v>
      </c>
      <c r="E403" s="12" t="s">
        <v>18</v>
      </c>
      <c r="F403" s="14">
        <v>46076</v>
      </c>
      <c r="H403" s="10"/>
      <c r="I403" s="10"/>
      <c r="J403" s="10"/>
      <c r="K403" s="10"/>
      <c r="L403" s="11"/>
    </row>
    <row r="404" spans="2:12" x14ac:dyDescent="0.3">
      <c r="B404" s="12" t="s">
        <v>143</v>
      </c>
      <c r="C404" s="12" t="s">
        <v>206</v>
      </c>
      <c r="D404" s="12" t="s">
        <v>206</v>
      </c>
      <c r="E404" s="12" t="s">
        <v>19</v>
      </c>
      <c r="F404" s="14">
        <v>46080</v>
      </c>
      <c r="H404" s="10"/>
      <c r="I404" s="10"/>
      <c r="J404" s="10"/>
      <c r="K404" s="10"/>
      <c r="L404" s="11"/>
    </row>
    <row r="405" spans="2:12" x14ac:dyDescent="0.3">
      <c r="B405" s="12" t="s">
        <v>144</v>
      </c>
      <c r="C405" s="12" t="s">
        <v>205</v>
      </c>
      <c r="D405" s="12" t="s">
        <v>205</v>
      </c>
      <c r="E405" s="12" t="s">
        <v>19</v>
      </c>
      <c r="F405" s="14">
        <v>46084</v>
      </c>
      <c r="H405" s="10"/>
      <c r="I405" s="10"/>
      <c r="J405" s="10"/>
      <c r="K405" s="10"/>
      <c r="L405" s="11"/>
    </row>
    <row r="406" spans="2:12" x14ac:dyDescent="0.3">
      <c r="B406" s="12" t="s">
        <v>145</v>
      </c>
      <c r="C406" s="12" t="s">
        <v>207</v>
      </c>
      <c r="D406" s="12" t="s">
        <v>207</v>
      </c>
      <c r="E406" s="12" t="s">
        <v>19</v>
      </c>
      <c r="F406" s="14">
        <v>46088</v>
      </c>
      <c r="H406" s="10"/>
      <c r="I406" s="10"/>
      <c r="J406" s="10"/>
      <c r="K406" s="10"/>
      <c r="L406" s="11"/>
    </row>
    <row r="407" spans="2:12" x14ac:dyDescent="0.3">
      <c r="B407" s="12" t="s">
        <v>146</v>
      </c>
      <c r="C407" s="12" t="s">
        <v>205</v>
      </c>
      <c r="D407" s="12" t="s">
        <v>205</v>
      </c>
      <c r="E407" s="12" t="s">
        <v>19</v>
      </c>
      <c r="F407" s="14">
        <v>46092</v>
      </c>
      <c r="H407" s="10"/>
      <c r="I407" s="10"/>
      <c r="J407" s="10"/>
      <c r="K407" s="10"/>
      <c r="L407" s="11"/>
    </row>
    <row r="408" spans="2:12" x14ac:dyDescent="0.3">
      <c r="B408" s="12" t="s">
        <v>147</v>
      </c>
      <c r="C408" s="12" t="s">
        <v>26</v>
      </c>
      <c r="D408" s="12" t="s">
        <v>26</v>
      </c>
      <c r="E408" s="12" t="s">
        <v>19</v>
      </c>
      <c r="F408" s="14">
        <v>46096</v>
      </c>
      <c r="H408" s="10"/>
      <c r="I408" s="10"/>
      <c r="J408" s="10"/>
      <c r="K408" s="10"/>
      <c r="L408" s="11"/>
    </row>
    <row r="409" spans="2:12" x14ac:dyDescent="0.3">
      <c r="B409" s="12" t="s">
        <v>148</v>
      </c>
      <c r="C409" s="12" t="s">
        <v>208</v>
      </c>
      <c r="D409" s="12" t="s">
        <v>208</v>
      </c>
      <c r="E409" s="12" t="s">
        <v>18</v>
      </c>
      <c r="F409" s="14">
        <v>46100</v>
      </c>
      <c r="H409" s="10"/>
      <c r="I409" s="10"/>
      <c r="J409" s="10"/>
      <c r="K409" s="10"/>
      <c r="L409" s="11"/>
    </row>
    <row r="410" spans="2:12" x14ac:dyDescent="0.3">
      <c r="B410" s="12" t="s">
        <v>149</v>
      </c>
      <c r="C410" s="12" t="s">
        <v>208</v>
      </c>
      <c r="D410" s="12" t="s">
        <v>208</v>
      </c>
      <c r="E410" s="12" t="s">
        <v>18</v>
      </c>
      <c r="F410" s="14">
        <v>46104</v>
      </c>
      <c r="H410" s="10"/>
      <c r="I410" s="10"/>
      <c r="J410" s="10"/>
      <c r="K410" s="10"/>
      <c r="L410" s="11"/>
    </row>
    <row r="411" spans="2:12" x14ac:dyDescent="0.3">
      <c r="B411" s="12" t="s">
        <v>6</v>
      </c>
      <c r="C411" s="12" t="s">
        <v>25</v>
      </c>
      <c r="D411" s="12" t="s">
        <v>25</v>
      </c>
      <c r="E411" s="12" t="s">
        <v>19</v>
      </c>
      <c r="F411" s="14">
        <v>46108</v>
      </c>
      <c r="H411" s="10"/>
      <c r="I411" s="10"/>
      <c r="J411" s="10"/>
      <c r="K411" s="10"/>
      <c r="L411" s="11"/>
    </row>
    <row r="412" spans="2:12" x14ac:dyDescent="0.3">
      <c r="B412" s="12" t="s">
        <v>150</v>
      </c>
      <c r="C412" s="12" t="s">
        <v>23</v>
      </c>
      <c r="D412" s="12" t="s">
        <v>23</v>
      </c>
      <c r="E412" s="12" t="s">
        <v>18</v>
      </c>
      <c r="F412" s="14">
        <v>46112</v>
      </c>
      <c r="H412" s="10"/>
      <c r="I412" s="10"/>
      <c r="J412" s="10"/>
      <c r="K412" s="10"/>
      <c r="L412" s="11"/>
    </row>
    <row r="413" spans="2:12" x14ac:dyDescent="0.3">
      <c r="B413" s="12" t="s">
        <v>151</v>
      </c>
      <c r="C413" s="12" t="s">
        <v>24</v>
      </c>
      <c r="D413" s="12" t="s">
        <v>24</v>
      </c>
      <c r="E413" s="12" t="s">
        <v>18</v>
      </c>
      <c r="F413" s="14">
        <v>46116</v>
      </c>
      <c r="H413" s="10"/>
      <c r="I413" s="10"/>
      <c r="J413" s="10"/>
      <c r="K413" s="10"/>
      <c r="L413" s="11"/>
    </row>
    <row r="414" spans="2:12" x14ac:dyDescent="0.3">
      <c r="B414" s="12" t="s">
        <v>152</v>
      </c>
      <c r="C414" s="12" t="s">
        <v>206</v>
      </c>
      <c r="D414" s="12" t="s">
        <v>206</v>
      </c>
      <c r="E414" s="12" t="s">
        <v>19</v>
      </c>
      <c r="F414" s="14">
        <v>46120</v>
      </c>
      <c r="H414" s="10"/>
      <c r="I414" s="10"/>
      <c r="J414" s="10"/>
      <c r="K414" s="10"/>
      <c r="L414" s="11"/>
    </row>
    <row r="415" spans="2:12" x14ac:dyDescent="0.3">
      <c r="B415" s="12" t="s">
        <v>153</v>
      </c>
      <c r="C415" s="12" t="s">
        <v>23</v>
      </c>
      <c r="D415" s="12" t="s">
        <v>23</v>
      </c>
      <c r="E415" s="12" t="s">
        <v>20</v>
      </c>
      <c r="F415" s="14">
        <v>46124</v>
      </c>
      <c r="H415" s="10"/>
      <c r="I415" s="10"/>
      <c r="J415" s="10"/>
      <c r="K415" s="10"/>
      <c r="L415" s="11"/>
    </row>
    <row r="416" spans="2:12" x14ac:dyDescent="0.3">
      <c r="B416" s="12" t="s">
        <v>154</v>
      </c>
      <c r="C416" s="12" t="s">
        <v>25</v>
      </c>
      <c r="D416" s="12" t="s">
        <v>25</v>
      </c>
      <c r="E416" s="12" t="s">
        <v>19</v>
      </c>
      <c r="F416" s="14">
        <v>46128</v>
      </c>
      <c r="H416" s="10"/>
      <c r="I416" s="10"/>
      <c r="J416" s="10"/>
      <c r="K416" s="10"/>
      <c r="L416" s="11"/>
    </row>
    <row r="417" spans="2:12" x14ac:dyDescent="0.3">
      <c r="B417" s="12" t="s">
        <v>155</v>
      </c>
      <c r="C417" s="12" t="s">
        <v>22</v>
      </c>
      <c r="D417" s="12" t="s">
        <v>22</v>
      </c>
      <c r="E417" s="12" t="s">
        <v>19</v>
      </c>
      <c r="F417" s="14">
        <v>46132</v>
      </c>
      <c r="H417" s="10"/>
      <c r="I417" s="10"/>
      <c r="J417" s="10"/>
      <c r="K417" s="10"/>
      <c r="L417" s="11"/>
    </row>
    <row r="418" spans="2:12" x14ac:dyDescent="0.3">
      <c r="B418" s="12" t="s">
        <v>156</v>
      </c>
      <c r="C418" s="12" t="s">
        <v>207</v>
      </c>
      <c r="D418" s="12" t="s">
        <v>207</v>
      </c>
      <c r="E418" s="12" t="s">
        <v>20</v>
      </c>
      <c r="F418" s="14">
        <v>46136</v>
      </c>
      <c r="H418" s="10"/>
      <c r="I418" s="10"/>
      <c r="J418" s="10"/>
      <c r="K418" s="10"/>
      <c r="L418" s="11"/>
    </row>
    <row r="419" spans="2:12" x14ac:dyDescent="0.3">
      <c r="B419" s="12" t="s">
        <v>157</v>
      </c>
      <c r="C419" s="12" t="s">
        <v>207</v>
      </c>
      <c r="D419" s="12" t="s">
        <v>207</v>
      </c>
      <c r="E419" s="12" t="s">
        <v>19</v>
      </c>
      <c r="F419" s="14">
        <v>46140</v>
      </c>
      <c r="H419" s="10"/>
      <c r="I419" s="10"/>
      <c r="J419" s="10"/>
      <c r="K419" s="10"/>
      <c r="L419" s="11"/>
    </row>
    <row r="420" spans="2:12" x14ac:dyDescent="0.3">
      <c r="B420" s="12" t="s">
        <v>158</v>
      </c>
      <c r="C420" s="12" t="s">
        <v>22</v>
      </c>
      <c r="D420" s="12" t="s">
        <v>22</v>
      </c>
      <c r="E420" s="12" t="s">
        <v>20</v>
      </c>
      <c r="F420" s="14">
        <v>46144</v>
      </c>
      <c r="H420" s="10"/>
      <c r="I420" s="10"/>
      <c r="J420" s="10"/>
      <c r="K420" s="10"/>
      <c r="L420" s="11"/>
    </row>
    <row r="421" spans="2:12" x14ac:dyDescent="0.3">
      <c r="B421" s="12" t="s">
        <v>159</v>
      </c>
      <c r="C421" s="12" t="s">
        <v>24</v>
      </c>
      <c r="D421" s="12" t="s">
        <v>24</v>
      </c>
      <c r="E421" s="12" t="s">
        <v>18</v>
      </c>
      <c r="F421" s="14">
        <v>46148</v>
      </c>
      <c r="H421" s="10"/>
      <c r="I421" s="10"/>
      <c r="J421" s="10"/>
      <c r="K421" s="10"/>
      <c r="L421" s="11"/>
    </row>
    <row r="422" spans="2:12" x14ac:dyDescent="0.3">
      <c r="B422" s="12" t="s">
        <v>160</v>
      </c>
      <c r="C422" s="12" t="s">
        <v>24</v>
      </c>
      <c r="D422" s="12" t="s">
        <v>24</v>
      </c>
      <c r="E422" s="12" t="s">
        <v>18</v>
      </c>
      <c r="F422" s="14">
        <v>46152</v>
      </c>
      <c r="H422" s="10"/>
      <c r="I422" s="10"/>
      <c r="J422" s="10"/>
      <c r="K422" s="10"/>
      <c r="L422" s="11"/>
    </row>
    <row r="423" spans="2:12" x14ac:dyDescent="0.3">
      <c r="B423" s="12" t="s">
        <v>161</v>
      </c>
      <c r="C423" s="12" t="s">
        <v>207</v>
      </c>
      <c r="D423" s="12" t="s">
        <v>207</v>
      </c>
      <c r="E423" s="12" t="s">
        <v>19</v>
      </c>
      <c r="F423" s="14">
        <v>46156</v>
      </c>
      <c r="H423" s="10"/>
      <c r="I423" s="10"/>
      <c r="J423" s="10"/>
      <c r="K423" s="10"/>
      <c r="L423" s="11"/>
    </row>
    <row r="424" spans="2:12" x14ac:dyDescent="0.3">
      <c r="B424" s="12" t="s">
        <v>29</v>
      </c>
      <c r="C424" s="12" t="s">
        <v>207</v>
      </c>
      <c r="D424" s="12" t="s">
        <v>207</v>
      </c>
      <c r="E424" s="12" t="s">
        <v>19</v>
      </c>
      <c r="F424" s="14">
        <v>46160</v>
      </c>
      <c r="H424" s="10"/>
      <c r="I424" s="10"/>
      <c r="J424" s="10"/>
      <c r="K424" s="10"/>
      <c r="L424" s="11"/>
    </row>
    <row r="425" spans="2:12" x14ac:dyDescent="0.3">
      <c r="B425" s="12" t="s">
        <v>162</v>
      </c>
      <c r="C425" s="12" t="s">
        <v>205</v>
      </c>
      <c r="D425" s="12" t="s">
        <v>205</v>
      </c>
      <c r="E425" s="12" t="s">
        <v>19</v>
      </c>
      <c r="F425" s="14">
        <v>46164</v>
      </c>
      <c r="H425" s="10"/>
      <c r="I425" s="10"/>
      <c r="J425" s="10"/>
      <c r="K425" s="10"/>
      <c r="L425" s="11"/>
    </row>
    <row r="426" spans="2:12" x14ac:dyDescent="0.3">
      <c r="B426" s="12" t="s">
        <v>163</v>
      </c>
      <c r="C426" s="12" t="s">
        <v>205</v>
      </c>
      <c r="D426" s="12" t="s">
        <v>205</v>
      </c>
      <c r="E426" s="12" t="s">
        <v>19</v>
      </c>
      <c r="F426" s="14">
        <v>46168</v>
      </c>
      <c r="H426" s="10"/>
      <c r="I426" s="10"/>
      <c r="J426" s="10"/>
      <c r="K426" s="10"/>
      <c r="L426" s="11"/>
    </row>
    <row r="427" spans="2:12" x14ac:dyDescent="0.3">
      <c r="B427" s="12" t="s">
        <v>164</v>
      </c>
      <c r="C427" s="12" t="s">
        <v>208</v>
      </c>
      <c r="D427" s="12" t="s">
        <v>208</v>
      </c>
      <c r="E427" s="12" t="s">
        <v>18</v>
      </c>
      <c r="F427" s="14">
        <v>46172</v>
      </c>
      <c r="H427" s="10"/>
      <c r="I427" s="10"/>
      <c r="J427" s="10"/>
      <c r="K427" s="10"/>
      <c r="L427" s="11"/>
    </row>
    <row r="428" spans="2:12" x14ac:dyDescent="0.3">
      <c r="B428" s="12" t="s">
        <v>54</v>
      </c>
      <c r="C428" s="12" t="s">
        <v>23</v>
      </c>
      <c r="D428" s="12" t="s">
        <v>23</v>
      </c>
      <c r="E428" s="12" t="s">
        <v>19</v>
      </c>
      <c r="F428" s="14">
        <v>46176</v>
      </c>
      <c r="H428" s="10"/>
      <c r="I428" s="10"/>
      <c r="J428" s="10"/>
      <c r="K428" s="10"/>
      <c r="L428" s="11"/>
    </row>
    <row r="429" spans="2:12" x14ac:dyDescent="0.3">
      <c r="B429" s="12" t="s">
        <v>165</v>
      </c>
      <c r="C429" s="12" t="s">
        <v>207</v>
      </c>
      <c r="D429" s="12" t="s">
        <v>207</v>
      </c>
      <c r="E429" s="12" t="s">
        <v>20</v>
      </c>
      <c r="F429" s="14">
        <v>46180</v>
      </c>
      <c r="H429" s="10"/>
      <c r="I429" s="10"/>
      <c r="J429" s="10"/>
      <c r="K429" s="10"/>
      <c r="L429" s="11"/>
    </row>
    <row r="430" spans="2:12" x14ac:dyDescent="0.3">
      <c r="B430" s="12" t="s">
        <v>166</v>
      </c>
      <c r="C430" s="12" t="s">
        <v>205</v>
      </c>
      <c r="D430" s="12" t="s">
        <v>205</v>
      </c>
      <c r="E430" s="12" t="s">
        <v>19</v>
      </c>
      <c r="F430" s="14">
        <v>46184</v>
      </c>
      <c r="H430" s="10"/>
      <c r="I430" s="10"/>
      <c r="J430" s="10"/>
      <c r="K430" s="10"/>
      <c r="L430" s="11"/>
    </row>
    <row r="431" spans="2:12" x14ac:dyDescent="0.3">
      <c r="B431" s="12" t="s">
        <v>32</v>
      </c>
      <c r="C431" s="12" t="s">
        <v>22</v>
      </c>
      <c r="D431" s="12" t="s">
        <v>22</v>
      </c>
      <c r="E431" s="12" t="s">
        <v>20</v>
      </c>
      <c r="F431" s="14">
        <v>46188</v>
      </c>
      <c r="H431" s="10"/>
      <c r="I431" s="10"/>
      <c r="J431" s="10"/>
      <c r="K431" s="10"/>
      <c r="L431" s="11"/>
    </row>
    <row r="432" spans="2:12" x14ac:dyDescent="0.3">
      <c r="B432" s="12" t="s">
        <v>33</v>
      </c>
      <c r="C432" s="12" t="s">
        <v>24</v>
      </c>
      <c r="D432" s="12" t="s">
        <v>24</v>
      </c>
      <c r="E432" s="12" t="s">
        <v>18</v>
      </c>
      <c r="F432" s="14">
        <v>46192</v>
      </c>
      <c r="H432" s="10"/>
      <c r="I432" s="10"/>
      <c r="J432" s="10"/>
      <c r="K432" s="10"/>
      <c r="L432" s="11"/>
    </row>
    <row r="433" spans="2:12" x14ac:dyDescent="0.3">
      <c r="B433" s="12" t="s">
        <v>167</v>
      </c>
      <c r="C433" s="12" t="s">
        <v>25</v>
      </c>
      <c r="D433" s="12" t="s">
        <v>25</v>
      </c>
      <c r="E433" s="12" t="s">
        <v>19</v>
      </c>
      <c r="F433" s="14">
        <v>46196</v>
      </c>
      <c r="H433" s="10"/>
      <c r="I433" s="10"/>
      <c r="J433" s="10"/>
      <c r="K433" s="10"/>
      <c r="L433" s="11"/>
    </row>
    <row r="434" spans="2:12" x14ac:dyDescent="0.3">
      <c r="B434" s="12" t="s">
        <v>168</v>
      </c>
      <c r="C434" s="12" t="s">
        <v>23</v>
      </c>
      <c r="D434" s="12" t="s">
        <v>23</v>
      </c>
      <c r="E434" s="12" t="s">
        <v>19</v>
      </c>
      <c r="F434" s="14">
        <v>46200</v>
      </c>
      <c r="H434" s="10"/>
      <c r="I434" s="10"/>
      <c r="J434" s="10"/>
      <c r="K434" s="10"/>
      <c r="L434" s="11"/>
    </row>
    <row r="435" spans="2:12" x14ac:dyDescent="0.3">
      <c r="B435" s="12" t="s">
        <v>169</v>
      </c>
      <c r="C435" s="12" t="s">
        <v>22</v>
      </c>
      <c r="D435" s="12" t="s">
        <v>22</v>
      </c>
      <c r="E435" s="12" t="s">
        <v>20</v>
      </c>
      <c r="F435" s="14">
        <v>46204</v>
      </c>
      <c r="H435" s="10"/>
      <c r="I435" s="10"/>
      <c r="J435" s="10"/>
      <c r="K435" s="10"/>
      <c r="L435" s="11"/>
    </row>
    <row r="436" spans="2:12" x14ac:dyDescent="0.3">
      <c r="B436" s="12" t="s">
        <v>170</v>
      </c>
      <c r="C436" s="12" t="s">
        <v>22</v>
      </c>
      <c r="D436" s="12" t="s">
        <v>22</v>
      </c>
      <c r="E436" s="12" t="s">
        <v>19</v>
      </c>
      <c r="F436" s="14">
        <v>46208</v>
      </c>
      <c r="H436" s="10"/>
      <c r="I436" s="10"/>
      <c r="J436" s="10"/>
      <c r="K436" s="10"/>
      <c r="L436" s="11"/>
    </row>
    <row r="437" spans="2:12" x14ac:dyDescent="0.3">
      <c r="B437" s="12" t="s">
        <v>171</v>
      </c>
      <c r="C437" s="12" t="s">
        <v>22</v>
      </c>
      <c r="D437" s="12" t="s">
        <v>22</v>
      </c>
      <c r="E437" s="12" t="s">
        <v>19</v>
      </c>
      <c r="F437" s="14">
        <v>46212</v>
      </c>
      <c r="H437" s="10"/>
      <c r="I437" s="10"/>
      <c r="J437" s="10"/>
      <c r="K437" s="10"/>
      <c r="L437" s="11"/>
    </row>
    <row r="438" spans="2:12" x14ac:dyDescent="0.3">
      <c r="B438" s="12" t="s">
        <v>172</v>
      </c>
      <c r="C438" s="12" t="s">
        <v>206</v>
      </c>
      <c r="D438" s="12" t="s">
        <v>206</v>
      </c>
      <c r="E438" s="12" t="s">
        <v>19</v>
      </c>
      <c r="F438" s="14">
        <v>46216</v>
      </c>
      <c r="H438" s="10"/>
      <c r="I438" s="10"/>
      <c r="J438" s="10"/>
      <c r="K438" s="10"/>
      <c r="L438" s="11"/>
    </row>
    <row r="439" spans="2:12" x14ac:dyDescent="0.3">
      <c r="B439" s="12" t="s">
        <v>173</v>
      </c>
      <c r="C439" s="12" t="s">
        <v>206</v>
      </c>
      <c r="D439" s="12" t="s">
        <v>206</v>
      </c>
      <c r="E439" s="12" t="s">
        <v>20</v>
      </c>
      <c r="F439" s="14">
        <v>46220</v>
      </c>
      <c r="H439" s="10"/>
      <c r="I439" s="10"/>
      <c r="J439" s="10"/>
      <c r="K439" s="10"/>
      <c r="L439" s="11"/>
    </row>
    <row r="440" spans="2:12" x14ac:dyDescent="0.3">
      <c r="B440" s="12" t="s">
        <v>55</v>
      </c>
      <c r="C440" s="12" t="s">
        <v>26</v>
      </c>
      <c r="D440" s="12" t="s">
        <v>26</v>
      </c>
      <c r="E440" s="12" t="s">
        <v>19</v>
      </c>
      <c r="F440" s="14">
        <v>46224</v>
      </c>
      <c r="H440" s="10"/>
      <c r="I440" s="10"/>
      <c r="J440" s="10"/>
      <c r="K440" s="10"/>
      <c r="L440" s="11"/>
    </row>
    <row r="441" spans="2:12" x14ac:dyDescent="0.3">
      <c r="B441" s="12" t="s">
        <v>174</v>
      </c>
      <c r="C441" s="12" t="s">
        <v>208</v>
      </c>
      <c r="D441" s="12" t="s">
        <v>208</v>
      </c>
      <c r="E441" s="12" t="s">
        <v>18</v>
      </c>
      <c r="F441" s="14">
        <v>46228</v>
      </c>
      <c r="H441" s="10"/>
      <c r="I441" s="10"/>
      <c r="J441" s="10"/>
      <c r="K441" s="10"/>
      <c r="L441" s="11"/>
    </row>
    <row r="442" spans="2:12" x14ac:dyDescent="0.3">
      <c r="B442" s="12" t="s">
        <v>175</v>
      </c>
      <c r="C442" s="12" t="s">
        <v>22</v>
      </c>
      <c r="D442" s="12" t="s">
        <v>22</v>
      </c>
      <c r="E442" s="12" t="s">
        <v>18</v>
      </c>
      <c r="F442" s="14">
        <v>46232</v>
      </c>
      <c r="H442" s="10"/>
      <c r="I442" s="10"/>
      <c r="J442" s="10"/>
      <c r="K442" s="10"/>
      <c r="L442" s="11"/>
    </row>
    <row r="443" spans="2:12" x14ac:dyDescent="0.3">
      <c r="B443" s="12" t="s">
        <v>176</v>
      </c>
      <c r="C443" s="12" t="s">
        <v>208</v>
      </c>
      <c r="D443" s="12" t="s">
        <v>208</v>
      </c>
      <c r="E443" s="12" t="s">
        <v>18</v>
      </c>
      <c r="F443" s="14">
        <v>46236</v>
      </c>
      <c r="H443" s="10"/>
      <c r="I443" s="10"/>
      <c r="J443" s="10"/>
      <c r="K443" s="10"/>
      <c r="L443" s="11"/>
    </row>
    <row r="444" spans="2:12" x14ac:dyDescent="0.3">
      <c r="B444" s="12" t="s">
        <v>177</v>
      </c>
      <c r="C444" s="12" t="s">
        <v>207</v>
      </c>
      <c r="D444" s="12" t="s">
        <v>207</v>
      </c>
      <c r="E444" s="12" t="s">
        <v>20</v>
      </c>
      <c r="F444" s="14">
        <v>46240</v>
      </c>
      <c r="H444" s="10"/>
      <c r="I444" s="10"/>
      <c r="J444" s="10"/>
      <c r="K444" s="10"/>
      <c r="L444" s="11"/>
    </row>
    <row r="445" spans="2:12" x14ac:dyDescent="0.3">
      <c r="B445" s="12" t="s">
        <v>178</v>
      </c>
      <c r="C445" s="12" t="s">
        <v>206</v>
      </c>
      <c r="D445" s="12" t="s">
        <v>206</v>
      </c>
      <c r="E445" s="12" t="s">
        <v>19</v>
      </c>
      <c r="F445" s="14">
        <v>46244</v>
      </c>
      <c r="H445" s="10"/>
      <c r="I445" s="10"/>
      <c r="J445" s="10"/>
      <c r="K445" s="10"/>
      <c r="L445" s="11"/>
    </row>
    <row r="446" spans="2:12" x14ac:dyDescent="0.3">
      <c r="B446" s="12" t="s">
        <v>179</v>
      </c>
      <c r="C446" s="12" t="s">
        <v>207</v>
      </c>
      <c r="D446" s="12" t="s">
        <v>207</v>
      </c>
      <c r="E446" s="12" t="s">
        <v>19</v>
      </c>
      <c r="F446" s="14">
        <v>46245</v>
      </c>
      <c r="H446" s="10"/>
      <c r="I446" s="10"/>
      <c r="J446" s="10"/>
      <c r="K446" s="10"/>
      <c r="L446" s="11"/>
    </row>
    <row r="447" spans="2:12" x14ac:dyDescent="0.3">
      <c r="B447" s="12" t="s">
        <v>180</v>
      </c>
      <c r="C447" s="12" t="s">
        <v>23</v>
      </c>
      <c r="D447" s="12" t="s">
        <v>23</v>
      </c>
      <c r="E447" s="12" t="s">
        <v>20</v>
      </c>
      <c r="F447" s="14">
        <v>46246</v>
      </c>
      <c r="H447" s="10"/>
      <c r="I447" s="10"/>
      <c r="J447" s="10"/>
      <c r="K447" s="10"/>
      <c r="L447" s="11"/>
    </row>
    <row r="448" spans="2:12" x14ac:dyDescent="0.3">
      <c r="B448" s="12" t="s">
        <v>181</v>
      </c>
      <c r="C448" s="12" t="s">
        <v>22</v>
      </c>
      <c r="D448" s="12" t="s">
        <v>22</v>
      </c>
      <c r="E448" s="12" t="s">
        <v>19</v>
      </c>
      <c r="F448" s="14">
        <v>46247</v>
      </c>
      <c r="H448" s="10"/>
      <c r="I448" s="10"/>
      <c r="J448" s="10"/>
      <c r="K448" s="10"/>
      <c r="L448" s="11"/>
    </row>
    <row r="449" spans="2:12" x14ac:dyDescent="0.3">
      <c r="B449" s="12" t="s">
        <v>182</v>
      </c>
      <c r="C449" s="12" t="s">
        <v>22</v>
      </c>
      <c r="D449" s="12" t="s">
        <v>22</v>
      </c>
      <c r="E449" s="12" t="s">
        <v>20</v>
      </c>
      <c r="F449" s="14">
        <v>46248</v>
      </c>
      <c r="H449" s="10"/>
      <c r="I449" s="10"/>
      <c r="J449" s="10"/>
      <c r="K449" s="10"/>
      <c r="L449" s="11"/>
    </row>
    <row r="450" spans="2:12" x14ac:dyDescent="0.3">
      <c r="B450" s="12" t="s">
        <v>56</v>
      </c>
      <c r="C450" s="12" t="s">
        <v>208</v>
      </c>
      <c r="D450" s="12" t="s">
        <v>208</v>
      </c>
      <c r="E450" s="12" t="s">
        <v>18</v>
      </c>
      <c r="F450" s="14">
        <v>46249</v>
      </c>
      <c r="H450" s="10"/>
      <c r="I450" s="10"/>
      <c r="J450" s="10"/>
      <c r="K450" s="10"/>
      <c r="L450" s="11"/>
    </row>
    <row r="451" spans="2:12" x14ac:dyDescent="0.3">
      <c r="B451" s="12" t="s">
        <v>57</v>
      </c>
      <c r="C451" s="12" t="s">
        <v>205</v>
      </c>
      <c r="D451" s="12" t="s">
        <v>205</v>
      </c>
      <c r="E451" s="12" t="s">
        <v>19</v>
      </c>
      <c r="F451" s="14">
        <v>46250</v>
      </c>
      <c r="H451" s="10"/>
      <c r="I451" s="10"/>
      <c r="J451" s="10"/>
      <c r="K451" s="10"/>
      <c r="L451" s="11"/>
    </row>
    <row r="452" spans="2:12" x14ac:dyDescent="0.3">
      <c r="B452" s="12" t="s">
        <v>183</v>
      </c>
      <c r="C452" s="12" t="s">
        <v>206</v>
      </c>
      <c r="D452" s="12" t="s">
        <v>206</v>
      </c>
      <c r="E452" s="12" t="s">
        <v>19</v>
      </c>
      <c r="F452" s="14">
        <v>46251</v>
      </c>
      <c r="H452" s="10"/>
      <c r="I452" s="10"/>
      <c r="J452" s="10"/>
      <c r="K452" s="10"/>
      <c r="L452" s="11"/>
    </row>
    <row r="453" spans="2:12" x14ac:dyDescent="0.3">
      <c r="B453" s="12" t="s">
        <v>184</v>
      </c>
      <c r="C453" s="12" t="s">
        <v>26</v>
      </c>
      <c r="D453" s="12" t="s">
        <v>26</v>
      </c>
      <c r="E453" s="12" t="s">
        <v>19</v>
      </c>
      <c r="F453" s="14">
        <v>46032</v>
      </c>
      <c r="H453" s="10"/>
      <c r="I453" s="10"/>
      <c r="J453" s="10"/>
      <c r="K453" s="10"/>
      <c r="L453" s="11"/>
    </row>
    <row r="454" spans="2:12" x14ac:dyDescent="0.3">
      <c r="B454" s="12" t="s">
        <v>58</v>
      </c>
      <c r="C454" s="12" t="s">
        <v>207</v>
      </c>
      <c r="D454" s="12" t="s">
        <v>207</v>
      </c>
      <c r="E454" s="12" t="s">
        <v>19</v>
      </c>
      <c r="F454" s="14">
        <v>46036</v>
      </c>
      <c r="H454" s="10"/>
      <c r="I454" s="10"/>
      <c r="J454" s="10"/>
      <c r="K454" s="10"/>
      <c r="L454" s="11"/>
    </row>
    <row r="455" spans="2:12" x14ac:dyDescent="0.3">
      <c r="B455" s="12" t="s">
        <v>185</v>
      </c>
      <c r="C455" s="12" t="s">
        <v>26</v>
      </c>
      <c r="D455" s="12" t="s">
        <v>26</v>
      </c>
      <c r="E455" s="12" t="s">
        <v>19</v>
      </c>
      <c r="F455" s="14">
        <v>46040</v>
      </c>
      <c r="H455" s="10"/>
      <c r="I455" s="10"/>
      <c r="J455" s="10"/>
      <c r="K455" s="10"/>
      <c r="L455" s="11"/>
    </row>
    <row r="456" spans="2:12" x14ac:dyDescent="0.3">
      <c r="B456" s="12" t="s">
        <v>186</v>
      </c>
      <c r="C456" s="12" t="s">
        <v>206</v>
      </c>
      <c r="D456" s="12" t="s">
        <v>206</v>
      </c>
      <c r="E456" s="12" t="s">
        <v>20</v>
      </c>
      <c r="F456" s="14">
        <v>46044</v>
      </c>
      <c r="H456" s="10"/>
      <c r="I456" s="10"/>
      <c r="J456" s="10"/>
      <c r="K456" s="10"/>
      <c r="L456" s="11"/>
    </row>
    <row r="457" spans="2:12" x14ac:dyDescent="0.3">
      <c r="B457" s="12" t="s">
        <v>31</v>
      </c>
      <c r="C457" s="12" t="s">
        <v>24</v>
      </c>
      <c r="D457" s="12" t="s">
        <v>24</v>
      </c>
      <c r="E457" s="12" t="s">
        <v>18</v>
      </c>
      <c r="F457" s="14">
        <v>46048</v>
      </c>
      <c r="H457" s="10"/>
      <c r="I457" s="10"/>
      <c r="J457" s="10"/>
      <c r="K457" s="10"/>
      <c r="L457" s="11"/>
    </row>
    <row r="458" spans="2:12" x14ac:dyDescent="0.3">
      <c r="B458" s="12" t="s">
        <v>187</v>
      </c>
      <c r="C458" s="12" t="s">
        <v>24</v>
      </c>
      <c r="D458" s="12" t="s">
        <v>24</v>
      </c>
      <c r="E458" s="12" t="s">
        <v>18</v>
      </c>
      <c r="F458" s="14">
        <v>46052</v>
      </c>
      <c r="H458" s="10"/>
      <c r="I458" s="10"/>
      <c r="J458" s="10"/>
      <c r="K458" s="10"/>
      <c r="L458" s="11"/>
    </row>
    <row r="459" spans="2:12" x14ac:dyDescent="0.3">
      <c r="B459" s="12" t="s">
        <v>188</v>
      </c>
      <c r="C459" s="12" t="s">
        <v>205</v>
      </c>
      <c r="D459" s="12" t="s">
        <v>205</v>
      </c>
      <c r="E459" s="12" t="s">
        <v>19</v>
      </c>
      <c r="F459" s="14">
        <v>46056</v>
      </c>
      <c r="H459" s="10"/>
      <c r="I459" s="10"/>
      <c r="J459" s="10"/>
      <c r="K459" s="10"/>
      <c r="L459" s="11"/>
    </row>
    <row r="460" spans="2:12" x14ac:dyDescent="0.3">
      <c r="B460" s="12" t="s">
        <v>189</v>
      </c>
      <c r="C460" s="12" t="s">
        <v>205</v>
      </c>
      <c r="D460" s="12" t="s">
        <v>205</v>
      </c>
      <c r="E460" s="12" t="s">
        <v>19</v>
      </c>
      <c r="F460" s="14">
        <v>46060</v>
      </c>
      <c r="H460" s="10"/>
      <c r="I460" s="10"/>
      <c r="J460" s="10"/>
      <c r="K460" s="10"/>
      <c r="L460" s="11"/>
    </row>
    <row r="461" spans="2:12" x14ac:dyDescent="0.3">
      <c r="B461" s="12" t="s">
        <v>59</v>
      </c>
      <c r="C461" s="12" t="s">
        <v>26</v>
      </c>
      <c r="D461" s="12" t="s">
        <v>26</v>
      </c>
      <c r="E461" s="12" t="s">
        <v>19</v>
      </c>
      <c r="F461" s="14">
        <v>46064</v>
      </c>
      <c r="H461" s="10"/>
      <c r="I461" s="10"/>
      <c r="J461" s="10"/>
      <c r="K461" s="10"/>
      <c r="L461" s="11"/>
    </row>
    <row r="462" spans="2:12" x14ac:dyDescent="0.3">
      <c r="B462" s="12" t="s">
        <v>190</v>
      </c>
      <c r="C462" s="12" t="s">
        <v>22</v>
      </c>
      <c r="D462" s="12" t="s">
        <v>22</v>
      </c>
      <c r="E462" s="12" t="s">
        <v>19</v>
      </c>
      <c r="F462" s="14">
        <v>46068</v>
      </c>
      <c r="H462" s="10"/>
      <c r="I462" s="10"/>
      <c r="J462" s="10"/>
      <c r="K462" s="10"/>
      <c r="L462" s="11"/>
    </row>
    <row r="463" spans="2:12" x14ac:dyDescent="0.3">
      <c r="B463" s="12" t="s">
        <v>191</v>
      </c>
      <c r="C463" s="12" t="s">
        <v>23</v>
      </c>
      <c r="D463" s="12" t="s">
        <v>23</v>
      </c>
      <c r="E463" s="12" t="s">
        <v>20</v>
      </c>
      <c r="F463" s="14">
        <v>46072</v>
      </c>
      <c r="H463" s="10"/>
      <c r="I463" s="10"/>
      <c r="J463" s="10"/>
      <c r="K463" s="10"/>
      <c r="L463" s="11"/>
    </row>
    <row r="464" spans="2:12" x14ac:dyDescent="0.3">
      <c r="B464" s="12" t="s">
        <v>192</v>
      </c>
      <c r="C464" s="12" t="s">
        <v>207</v>
      </c>
      <c r="D464" s="12" t="s">
        <v>207</v>
      </c>
      <c r="E464" s="12" t="s">
        <v>19</v>
      </c>
      <c r="F464" s="14">
        <v>46076</v>
      </c>
      <c r="H464" s="10"/>
      <c r="I464" s="10"/>
      <c r="J464" s="10"/>
      <c r="K464" s="10"/>
      <c r="L464" s="11"/>
    </row>
    <row r="465" spans="2:12" x14ac:dyDescent="0.3">
      <c r="B465" s="12" t="s">
        <v>193</v>
      </c>
      <c r="C465" s="12" t="s">
        <v>208</v>
      </c>
      <c r="D465" s="12" t="s">
        <v>208</v>
      </c>
      <c r="E465" s="12" t="s">
        <v>18</v>
      </c>
      <c r="F465" s="14">
        <v>46080</v>
      </c>
      <c r="H465" s="10"/>
      <c r="I465" s="10"/>
      <c r="J465" s="10"/>
      <c r="K465" s="10"/>
      <c r="L465" s="11"/>
    </row>
    <row r="466" spans="2:12" x14ac:dyDescent="0.3">
      <c r="B466" s="12" t="s">
        <v>194</v>
      </c>
      <c r="C466" s="12" t="s">
        <v>23</v>
      </c>
      <c r="D466" s="12" t="s">
        <v>23</v>
      </c>
      <c r="E466" s="12" t="s">
        <v>19</v>
      </c>
      <c r="F466" s="14">
        <v>46084</v>
      </c>
      <c r="H466" s="10"/>
      <c r="I466" s="10"/>
      <c r="J466" s="10"/>
      <c r="K466" s="10"/>
      <c r="L466" s="11"/>
    </row>
    <row r="467" spans="2:12" x14ac:dyDescent="0.3">
      <c r="B467" s="12" t="s">
        <v>195</v>
      </c>
      <c r="C467" s="12" t="s">
        <v>208</v>
      </c>
      <c r="D467" s="12" t="s">
        <v>208</v>
      </c>
      <c r="E467" s="12" t="s">
        <v>18</v>
      </c>
      <c r="F467" s="14">
        <v>46088</v>
      </c>
      <c r="H467" s="10"/>
      <c r="I467" s="10"/>
      <c r="J467" s="10"/>
      <c r="K467" s="10"/>
      <c r="L467" s="11"/>
    </row>
    <row r="468" spans="2:12" x14ac:dyDescent="0.3">
      <c r="B468" s="12" t="s">
        <v>196</v>
      </c>
      <c r="C468" s="12" t="s">
        <v>24</v>
      </c>
      <c r="D468" s="12" t="s">
        <v>24</v>
      </c>
      <c r="E468" s="12" t="s">
        <v>19</v>
      </c>
      <c r="F468" s="14">
        <v>46092</v>
      </c>
      <c r="H468" s="10"/>
      <c r="I468" s="10"/>
      <c r="J468" s="10"/>
      <c r="K468" s="10"/>
      <c r="L468" s="11"/>
    </row>
    <row r="469" spans="2:12" x14ac:dyDescent="0.3">
      <c r="B469" s="12" t="s">
        <v>61</v>
      </c>
      <c r="C469" s="12" t="s">
        <v>23</v>
      </c>
      <c r="D469" s="12" t="s">
        <v>23</v>
      </c>
      <c r="E469" s="12" t="s">
        <v>20</v>
      </c>
      <c r="F469" s="14">
        <v>46096</v>
      </c>
      <c r="H469" s="10"/>
      <c r="I469" s="10"/>
      <c r="J469" s="10"/>
      <c r="K469" s="10"/>
      <c r="L469" s="11"/>
    </row>
    <row r="470" spans="2:12" x14ac:dyDescent="0.3">
      <c r="B470" s="12" t="s">
        <v>197</v>
      </c>
      <c r="C470" s="12" t="s">
        <v>24</v>
      </c>
      <c r="D470" s="12" t="s">
        <v>24</v>
      </c>
      <c r="E470" s="12" t="s">
        <v>18</v>
      </c>
      <c r="F470" s="14">
        <v>46100</v>
      </c>
      <c r="H470" s="10"/>
      <c r="I470" s="10"/>
      <c r="J470" s="10"/>
      <c r="K470" s="10"/>
      <c r="L470" s="11"/>
    </row>
    <row r="471" spans="2:12" x14ac:dyDescent="0.3">
      <c r="B471" s="12" t="s">
        <v>198</v>
      </c>
      <c r="C471" s="12" t="s">
        <v>26</v>
      </c>
      <c r="D471" s="12" t="s">
        <v>26</v>
      </c>
      <c r="E471" s="12" t="s">
        <v>19</v>
      </c>
      <c r="F471" s="14">
        <v>46104</v>
      </c>
      <c r="H471" s="10"/>
      <c r="I471" s="10"/>
      <c r="J471" s="10"/>
      <c r="K471" s="10"/>
      <c r="L471" s="11"/>
    </row>
    <row r="472" spans="2:12" x14ac:dyDescent="0.3">
      <c r="B472" s="12" t="s">
        <v>199</v>
      </c>
      <c r="C472" s="12" t="s">
        <v>26</v>
      </c>
      <c r="D472" s="12" t="s">
        <v>26</v>
      </c>
      <c r="E472" s="12" t="s">
        <v>19</v>
      </c>
      <c r="F472" s="14">
        <v>46108</v>
      </c>
      <c r="H472" s="10"/>
      <c r="I472" s="10"/>
      <c r="J472" s="10"/>
      <c r="K472" s="10"/>
      <c r="L472" s="11"/>
    </row>
    <row r="473" spans="2:12" x14ac:dyDescent="0.3">
      <c r="B473" s="12" t="s">
        <v>200</v>
      </c>
      <c r="C473" s="12" t="s">
        <v>207</v>
      </c>
      <c r="D473" s="12" t="s">
        <v>207</v>
      </c>
      <c r="E473" s="12" t="s">
        <v>19</v>
      </c>
      <c r="F473" s="14">
        <v>46112</v>
      </c>
      <c r="H473" s="10"/>
      <c r="I473" s="10"/>
      <c r="J473" s="10"/>
      <c r="K473" s="10"/>
      <c r="L473" s="11"/>
    </row>
    <row r="474" spans="2:12" x14ac:dyDescent="0.3">
      <c r="B474" s="12" t="s">
        <v>201</v>
      </c>
      <c r="C474" s="12" t="s">
        <v>205</v>
      </c>
      <c r="D474" s="12" t="s">
        <v>205</v>
      </c>
      <c r="E474" s="12" t="s">
        <v>19</v>
      </c>
      <c r="F474" s="14">
        <v>46116</v>
      </c>
      <c r="H474" s="10"/>
      <c r="I474" s="10"/>
      <c r="J474" s="10"/>
      <c r="K474" s="10"/>
      <c r="L474" s="11"/>
    </row>
    <row r="475" spans="2:12" x14ac:dyDescent="0.3">
      <c r="B475" s="12" t="s">
        <v>202</v>
      </c>
      <c r="C475" s="12" t="s">
        <v>25</v>
      </c>
      <c r="D475" s="12" t="s">
        <v>25</v>
      </c>
      <c r="E475" s="12" t="s">
        <v>20</v>
      </c>
      <c r="F475" s="14">
        <v>46120</v>
      </c>
      <c r="H475" s="10"/>
      <c r="I475" s="10"/>
      <c r="J475" s="10"/>
      <c r="K475" s="10"/>
      <c r="L475" s="11"/>
    </row>
    <row r="476" spans="2:12" x14ac:dyDescent="0.3">
      <c r="B476" s="12" t="s">
        <v>203</v>
      </c>
      <c r="C476" s="12" t="s">
        <v>207</v>
      </c>
      <c r="D476" s="12" t="s">
        <v>207</v>
      </c>
      <c r="E476" s="12" t="s">
        <v>20</v>
      </c>
      <c r="F476" s="14">
        <v>46124</v>
      </c>
      <c r="H476" s="10"/>
      <c r="I476" s="10"/>
      <c r="J476" s="10"/>
      <c r="K476" s="10"/>
      <c r="L476" s="11"/>
    </row>
    <row r="477" spans="2:12" x14ac:dyDescent="0.3">
      <c r="B477" s="12" t="s">
        <v>204</v>
      </c>
      <c r="C477" s="12" t="s">
        <v>24</v>
      </c>
      <c r="D477" s="12" t="s">
        <v>24</v>
      </c>
      <c r="E477" s="12" t="s">
        <v>18</v>
      </c>
      <c r="F477" s="14">
        <v>46128</v>
      </c>
      <c r="H477" s="10"/>
      <c r="I477" s="10"/>
      <c r="J477" s="10"/>
      <c r="K477" s="10"/>
      <c r="L477" s="11"/>
    </row>
    <row r="478" spans="2:12" x14ac:dyDescent="0.3">
      <c r="B478" s="12" t="s">
        <v>63</v>
      </c>
      <c r="C478" s="12" t="s">
        <v>207</v>
      </c>
      <c r="D478" s="12" t="s">
        <v>207</v>
      </c>
      <c r="E478" s="12" t="s">
        <v>20</v>
      </c>
      <c r="F478" s="14">
        <v>46132</v>
      </c>
      <c r="H478" s="10"/>
      <c r="I478" s="10"/>
      <c r="J478" s="10"/>
      <c r="K478" s="10"/>
      <c r="L478" s="11"/>
    </row>
    <row r="479" spans="2:12" x14ac:dyDescent="0.3">
      <c r="B479" s="12" t="s">
        <v>64</v>
      </c>
      <c r="C479" s="12" t="s">
        <v>24</v>
      </c>
      <c r="D479" s="12" t="s">
        <v>24</v>
      </c>
      <c r="E479" s="12" t="s">
        <v>18</v>
      </c>
      <c r="F479" s="14">
        <v>46136</v>
      </c>
      <c r="H479" s="10"/>
      <c r="I479" s="10"/>
      <c r="J479" s="10"/>
      <c r="K479" s="10"/>
      <c r="L479" s="11"/>
    </row>
    <row r="480" spans="2:12" x14ac:dyDescent="0.3">
      <c r="B480" s="12" t="s">
        <v>65</v>
      </c>
      <c r="C480" s="12" t="s">
        <v>24</v>
      </c>
      <c r="D480" s="12" t="s">
        <v>24</v>
      </c>
      <c r="E480" s="12" t="s">
        <v>18</v>
      </c>
      <c r="F480" s="14">
        <v>46140</v>
      </c>
      <c r="H480" s="10"/>
      <c r="I480" s="10"/>
      <c r="J480" s="10"/>
      <c r="K480" s="10"/>
      <c r="L480" s="11"/>
    </row>
  </sheetData>
  <mergeCells count="9">
    <mergeCell ref="B40:C40"/>
    <mergeCell ref="B2:C2"/>
    <mergeCell ref="B156:O156"/>
    <mergeCell ref="B311:F311"/>
    <mergeCell ref="B78:C78"/>
    <mergeCell ref="B116:C116"/>
    <mergeCell ref="B195:O195"/>
    <mergeCell ref="B233:O233"/>
    <mergeCell ref="B272:O2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DD1E-DFDC-465C-81B4-79409F838DF5}">
  <dimension ref="B1:K60"/>
  <sheetViews>
    <sheetView workbookViewId="0"/>
  </sheetViews>
  <sheetFormatPr defaultRowHeight="14.4" x14ac:dyDescent="0.3"/>
  <sheetData>
    <row r="1" spans="2:11" x14ac:dyDescent="0.3">
      <c r="B1" t="s">
        <v>27</v>
      </c>
    </row>
    <row r="2" spans="2:11" x14ac:dyDescent="0.3">
      <c r="C2" s="6" t="s">
        <v>4</v>
      </c>
      <c r="D2" s="6" t="s">
        <v>5</v>
      </c>
      <c r="E2" s="6" t="s">
        <v>6</v>
      </c>
      <c r="F2" s="6" t="s">
        <v>29</v>
      </c>
      <c r="G2" s="6" t="s">
        <v>7</v>
      </c>
      <c r="H2" s="6" t="s">
        <v>30</v>
      </c>
      <c r="I2" s="6" t="s">
        <v>31</v>
      </c>
      <c r="J2" s="6" t="s">
        <v>32</v>
      </c>
      <c r="K2" s="6" t="s">
        <v>33</v>
      </c>
    </row>
    <row r="3" spans="2:11" x14ac:dyDescent="0.3">
      <c r="B3" s="7">
        <v>45717</v>
      </c>
      <c r="C3" s="2">
        <v>1451</v>
      </c>
      <c r="D3" s="2">
        <v>1253</v>
      </c>
      <c r="E3" s="2">
        <v>1583</v>
      </c>
      <c r="F3" s="2">
        <v>1812</v>
      </c>
      <c r="G3" s="2">
        <v>1500</v>
      </c>
      <c r="H3" s="2">
        <v>1897</v>
      </c>
      <c r="I3" s="2">
        <v>1502</v>
      </c>
      <c r="J3" s="2">
        <v>1680</v>
      </c>
      <c r="K3" s="2">
        <v>1732</v>
      </c>
    </row>
    <row r="4" spans="2:11" x14ac:dyDescent="0.3">
      <c r="B4" s="7">
        <v>45748</v>
      </c>
      <c r="C4" s="2">
        <v>1230</v>
      </c>
      <c r="D4" s="2">
        <v>1662</v>
      </c>
      <c r="E4" s="2">
        <v>1589</v>
      </c>
      <c r="F4" s="2">
        <v>1921</v>
      </c>
      <c r="G4" s="2">
        <v>1824</v>
      </c>
      <c r="H4" s="2">
        <v>1442</v>
      </c>
      <c r="I4" s="2">
        <v>1909</v>
      </c>
      <c r="J4" s="2">
        <v>1680</v>
      </c>
      <c r="K4" s="2">
        <v>1287</v>
      </c>
    </row>
    <row r="5" spans="2:11" x14ac:dyDescent="0.3">
      <c r="B5" s="7">
        <v>45778</v>
      </c>
      <c r="C5" s="2">
        <v>1775</v>
      </c>
      <c r="D5" s="2">
        <v>1203</v>
      </c>
      <c r="E5" s="2">
        <v>1487</v>
      </c>
      <c r="F5" s="2">
        <v>1168</v>
      </c>
      <c r="G5" s="2">
        <v>1404</v>
      </c>
      <c r="H5" s="2">
        <v>1764</v>
      </c>
      <c r="I5" s="2">
        <v>1902</v>
      </c>
      <c r="J5" s="2">
        <v>1974</v>
      </c>
      <c r="K5" s="2">
        <v>1677</v>
      </c>
    </row>
    <row r="6" spans="2:11" x14ac:dyDescent="0.3">
      <c r="B6" s="7">
        <v>45809</v>
      </c>
      <c r="C6" s="2">
        <v>1685</v>
      </c>
      <c r="D6" s="2">
        <v>1990</v>
      </c>
      <c r="E6" s="2">
        <v>1706</v>
      </c>
      <c r="F6" s="2">
        <v>1990</v>
      </c>
      <c r="G6" s="2">
        <v>1252</v>
      </c>
      <c r="H6" s="2">
        <v>1496</v>
      </c>
      <c r="I6" s="2">
        <v>1260</v>
      </c>
      <c r="J6" s="2">
        <v>1382</v>
      </c>
      <c r="K6" s="2">
        <v>1612</v>
      </c>
    </row>
    <row r="7" spans="2:11" x14ac:dyDescent="0.3">
      <c r="B7" s="7">
        <v>45839</v>
      </c>
      <c r="C7" s="2">
        <v>1132</v>
      </c>
      <c r="D7" s="2">
        <v>1491</v>
      </c>
      <c r="E7" s="2">
        <v>1058</v>
      </c>
      <c r="F7" s="2">
        <v>1189</v>
      </c>
      <c r="G7" s="2">
        <v>1412</v>
      </c>
      <c r="H7" s="2">
        <v>1304</v>
      </c>
      <c r="I7" s="2">
        <v>1135</v>
      </c>
      <c r="J7" s="2">
        <v>1257</v>
      </c>
      <c r="K7" s="2">
        <v>1071</v>
      </c>
    </row>
    <row r="8" spans="2:11" x14ac:dyDescent="0.3">
      <c r="B8" s="7">
        <v>45870</v>
      </c>
      <c r="C8" s="2">
        <v>1470</v>
      </c>
      <c r="D8" s="2">
        <v>1952</v>
      </c>
      <c r="E8" s="2">
        <v>1431</v>
      </c>
      <c r="F8" s="2">
        <v>1451</v>
      </c>
      <c r="G8" s="2">
        <v>1464</v>
      </c>
      <c r="H8" s="2">
        <v>1942</v>
      </c>
      <c r="I8" s="2">
        <v>1123</v>
      </c>
      <c r="J8" s="2">
        <v>1648</v>
      </c>
      <c r="K8" s="2">
        <v>1301</v>
      </c>
    </row>
    <row r="9" spans="2:11" x14ac:dyDescent="0.3">
      <c r="B9" s="7">
        <v>45901</v>
      </c>
      <c r="C9" s="2">
        <v>1050</v>
      </c>
      <c r="D9" s="2">
        <v>1362</v>
      </c>
      <c r="E9" s="2">
        <v>1894</v>
      </c>
      <c r="F9" s="2">
        <v>1461</v>
      </c>
      <c r="G9" s="2">
        <v>1790</v>
      </c>
      <c r="H9" s="2">
        <v>1138</v>
      </c>
      <c r="I9" s="2">
        <v>1994</v>
      </c>
      <c r="J9" s="2">
        <v>1822</v>
      </c>
      <c r="K9" s="2">
        <v>1157</v>
      </c>
    </row>
    <row r="10" spans="2:11" x14ac:dyDescent="0.3">
      <c r="B10" s="7">
        <v>45931</v>
      </c>
      <c r="C10" s="2">
        <v>1877</v>
      </c>
      <c r="D10" s="2">
        <v>1024</v>
      </c>
      <c r="E10" s="2">
        <v>1202</v>
      </c>
      <c r="F10" s="2">
        <v>1512</v>
      </c>
      <c r="G10" s="2">
        <v>1273</v>
      </c>
      <c r="H10" s="2">
        <v>1214</v>
      </c>
      <c r="I10" s="2">
        <v>1604</v>
      </c>
      <c r="J10" s="2">
        <v>1706</v>
      </c>
      <c r="K10" s="2">
        <v>1154</v>
      </c>
    </row>
    <row r="11" spans="2:11" x14ac:dyDescent="0.3">
      <c r="B11" s="7">
        <v>45962</v>
      </c>
      <c r="C11" s="2">
        <v>1711</v>
      </c>
      <c r="D11" s="2">
        <v>1342</v>
      </c>
      <c r="E11" s="2">
        <v>1598</v>
      </c>
      <c r="F11" s="2">
        <v>1616</v>
      </c>
      <c r="G11" s="2">
        <v>1788</v>
      </c>
      <c r="H11" s="2">
        <v>1327</v>
      </c>
      <c r="I11" s="2">
        <v>1759</v>
      </c>
      <c r="J11" s="2">
        <v>1751</v>
      </c>
      <c r="K11" s="2">
        <v>1378</v>
      </c>
    </row>
    <row r="12" spans="2:11" x14ac:dyDescent="0.3">
      <c r="B12" s="7">
        <v>45992</v>
      </c>
      <c r="C12" s="2">
        <v>1187</v>
      </c>
      <c r="D12" s="2">
        <v>1438</v>
      </c>
      <c r="E12" s="2">
        <v>1117</v>
      </c>
      <c r="F12" s="2">
        <v>1576</v>
      </c>
      <c r="G12" s="2">
        <v>1222</v>
      </c>
      <c r="H12" s="2">
        <v>1337</v>
      </c>
      <c r="I12" s="2">
        <v>1104</v>
      </c>
      <c r="J12" s="2">
        <v>1226</v>
      </c>
      <c r="K12" s="2">
        <v>1727</v>
      </c>
    </row>
    <row r="13" spans="2:11" x14ac:dyDescent="0.3">
      <c r="B13" s="7">
        <v>46023</v>
      </c>
      <c r="C13" s="2">
        <v>1834</v>
      </c>
      <c r="D13" s="2">
        <v>1093</v>
      </c>
      <c r="E13" s="2">
        <v>1862</v>
      </c>
      <c r="F13" s="2">
        <v>1647</v>
      </c>
      <c r="G13" s="2">
        <v>1790</v>
      </c>
      <c r="H13" s="2">
        <v>1552</v>
      </c>
      <c r="I13" s="2">
        <v>1425</v>
      </c>
      <c r="J13" s="2">
        <v>1366</v>
      </c>
      <c r="K13" s="2">
        <v>1612</v>
      </c>
    </row>
    <row r="14" spans="2:11" x14ac:dyDescent="0.3">
      <c r="B14" s="7">
        <v>46054</v>
      </c>
      <c r="C14" s="2">
        <v>1668</v>
      </c>
      <c r="D14" s="2">
        <v>1083</v>
      </c>
      <c r="E14" s="2">
        <v>1415</v>
      </c>
      <c r="F14" s="2">
        <v>1470</v>
      </c>
      <c r="G14" s="2">
        <v>1070</v>
      </c>
      <c r="H14" s="2">
        <v>1666</v>
      </c>
      <c r="I14" s="2">
        <v>1616</v>
      </c>
      <c r="J14" s="2">
        <v>1136</v>
      </c>
      <c r="K14" s="2">
        <v>1200</v>
      </c>
    </row>
    <row r="15" spans="2:11" x14ac:dyDescent="0.3">
      <c r="B15" s="7">
        <v>46082</v>
      </c>
      <c r="C15" s="2">
        <v>1486</v>
      </c>
      <c r="D15" s="2">
        <v>1237</v>
      </c>
      <c r="E15" s="2">
        <v>1450</v>
      </c>
      <c r="F15" s="2">
        <v>1589</v>
      </c>
      <c r="G15" s="2">
        <v>1537</v>
      </c>
      <c r="H15" s="2">
        <v>1729</v>
      </c>
      <c r="I15" s="2">
        <v>1422</v>
      </c>
      <c r="J15" s="2">
        <v>1621</v>
      </c>
      <c r="K15" s="2">
        <v>1453</v>
      </c>
    </row>
    <row r="17" spans="2:11" x14ac:dyDescent="0.3">
      <c r="B17" t="s">
        <v>28</v>
      </c>
      <c r="C17">
        <f t="shared" ref="C17:K17" si="0">C15/C3-1</f>
        <v>2.4121295658166675E-2</v>
      </c>
      <c r="D17">
        <f t="shared" si="0"/>
        <v>-1.2769353551476459E-2</v>
      </c>
      <c r="E17">
        <f t="shared" si="0"/>
        <v>-8.4017687934301977E-2</v>
      </c>
      <c r="F17">
        <f t="shared" si="0"/>
        <v>-0.1230684326710817</v>
      </c>
      <c r="G17">
        <f t="shared" si="0"/>
        <v>2.4666666666666615E-2</v>
      </c>
      <c r="H17">
        <f t="shared" si="0"/>
        <v>-8.856088560885611E-2</v>
      </c>
      <c r="I17">
        <f t="shared" si="0"/>
        <v>-5.3262316910785645E-2</v>
      </c>
      <c r="J17">
        <f t="shared" si="0"/>
        <v>-3.5119047619047605E-2</v>
      </c>
      <c r="K17">
        <f t="shared" si="0"/>
        <v>-0.1610854503464203</v>
      </c>
    </row>
    <row r="20" spans="2:11" x14ac:dyDescent="0.3">
      <c r="B20" t="s">
        <v>34</v>
      </c>
    </row>
    <row r="21" spans="2:11" x14ac:dyDescent="0.3">
      <c r="C21" s="6" t="s">
        <v>4</v>
      </c>
      <c r="D21" s="6" t="s">
        <v>5</v>
      </c>
      <c r="E21" s="6" t="s">
        <v>6</v>
      </c>
      <c r="F21" s="6" t="s">
        <v>29</v>
      </c>
      <c r="G21" s="6" t="s">
        <v>7</v>
      </c>
      <c r="H21" s="6" t="s">
        <v>30</v>
      </c>
      <c r="I21" s="6" t="s">
        <v>31</v>
      </c>
      <c r="J21" s="6" t="s">
        <v>32</v>
      </c>
      <c r="K21" s="6" t="s">
        <v>33</v>
      </c>
    </row>
    <row r="22" spans="2:11" x14ac:dyDescent="0.3">
      <c r="B22" s="3">
        <v>45017</v>
      </c>
      <c r="C22" s="2">
        <v>14.284886690751495</v>
      </c>
      <c r="D22" s="2">
        <v>12.948236169706719</v>
      </c>
      <c r="E22" s="2">
        <v>1.8630459833052617</v>
      </c>
      <c r="F22" s="2">
        <v>14.368486469270866</v>
      </c>
      <c r="G22" s="2">
        <v>8.1297152937897721</v>
      </c>
      <c r="H22" s="2">
        <v>8.9148465300323565</v>
      </c>
      <c r="I22" s="2">
        <v>11.164919221408718</v>
      </c>
      <c r="J22" s="2">
        <v>13.14212640203959</v>
      </c>
      <c r="K22" s="2">
        <v>10.141456696162985</v>
      </c>
    </row>
    <row r="23" spans="2:11" x14ac:dyDescent="0.3">
      <c r="B23" s="3">
        <v>45047</v>
      </c>
      <c r="C23" s="2">
        <v>1.3183734548036248</v>
      </c>
      <c r="D23" s="2">
        <v>20.206929025669638</v>
      </c>
      <c r="E23" s="2">
        <v>8.2016654980811214</v>
      </c>
      <c r="F23" s="2">
        <v>17.752157373949185</v>
      </c>
      <c r="G23" s="2">
        <v>2.0983819806030128</v>
      </c>
      <c r="H23" s="2">
        <v>19.430775574990015</v>
      </c>
      <c r="I23" s="2">
        <v>15.52313489799964</v>
      </c>
      <c r="J23" s="2">
        <v>13.246490622244211</v>
      </c>
      <c r="K23" s="2">
        <v>3.5128901057012754</v>
      </c>
    </row>
    <row r="24" spans="2:11" x14ac:dyDescent="0.3">
      <c r="B24" s="3">
        <v>45078</v>
      </c>
      <c r="C24" s="2">
        <v>1.6882327108674586</v>
      </c>
      <c r="D24" s="2">
        <v>17.687694363160379</v>
      </c>
      <c r="E24" s="2">
        <v>11.672647266413902</v>
      </c>
      <c r="F24" s="2">
        <v>3.7533225354056641</v>
      </c>
      <c r="G24" s="2">
        <v>8.5487584579333511</v>
      </c>
      <c r="H24" s="2">
        <v>20.226472066910077</v>
      </c>
      <c r="I24" s="2">
        <v>11.792794062450939</v>
      </c>
      <c r="J24" s="2">
        <v>5.5600590384569673</v>
      </c>
      <c r="K24" s="2">
        <v>17.174304929266402</v>
      </c>
    </row>
    <row r="25" spans="2:11" x14ac:dyDescent="0.3">
      <c r="B25" s="3">
        <v>45108</v>
      </c>
      <c r="C25" s="2">
        <v>7.677099463471615</v>
      </c>
      <c r="D25" s="2">
        <v>13.930018861398963</v>
      </c>
      <c r="E25" s="2">
        <v>20.818785782535816</v>
      </c>
      <c r="F25" s="2">
        <v>14.241353245363678</v>
      </c>
      <c r="G25" s="2">
        <v>7.5834096954862416</v>
      </c>
      <c r="H25" s="2">
        <v>16.217557836335825</v>
      </c>
      <c r="I25" s="2">
        <v>11.983764522689368</v>
      </c>
      <c r="J25" s="2">
        <v>19.629442035784066</v>
      </c>
      <c r="K25" s="2">
        <v>7.8922146904052806</v>
      </c>
    </row>
    <row r="26" spans="2:11" x14ac:dyDescent="0.3">
      <c r="B26" s="3">
        <v>45139</v>
      </c>
      <c r="C26" s="2">
        <v>20.998303811064776</v>
      </c>
      <c r="D26" s="2">
        <v>1.2471046763567912</v>
      </c>
      <c r="E26" s="2">
        <v>4.0329723116853433</v>
      </c>
      <c r="F26" s="2">
        <v>11.742218116803</v>
      </c>
      <c r="G26" s="2">
        <v>4.601149621020145</v>
      </c>
      <c r="H26" s="2">
        <v>1.5069373458967892</v>
      </c>
      <c r="I26" s="2">
        <v>19.443327834647377</v>
      </c>
      <c r="J26" s="2">
        <v>7.0234999623377297</v>
      </c>
      <c r="K26" s="2">
        <v>14.431549989520116</v>
      </c>
    </row>
    <row r="27" spans="2:11" x14ac:dyDescent="0.3">
      <c r="B27" s="3">
        <v>45170</v>
      </c>
      <c r="C27" s="2">
        <v>11.048282642538981</v>
      </c>
      <c r="D27" s="2">
        <v>5.4072478112942939</v>
      </c>
      <c r="E27" s="2">
        <v>2.7609681820897616</v>
      </c>
      <c r="F27" s="2">
        <v>13.952451351630943</v>
      </c>
      <c r="G27" s="2">
        <v>20.251943551003219</v>
      </c>
      <c r="H27" s="2">
        <v>16.656355332224869</v>
      </c>
      <c r="I27" s="2">
        <v>12.146777373895581</v>
      </c>
      <c r="J27" s="2">
        <v>9.5557367390143853</v>
      </c>
      <c r="K27" s="2">
        <v>5.8490809954007421</v>
      </c>
    </row>
    <row r="28" spans="2:11" x14ac:dyDescent="0.3">
      <c r="B28" s="3">
        <v>45200</v>
      </c>
      <c r="C28" s="2">
        <v>20.528016558880875</v>
      </c>
      <c r="D28" s="2">
        <v>7.2597049324577627</v>
      </c>
      <c r="E28" s="2">
        <v>7.1257570369163732</v>
      </c>
      <c r="F28" s="2">
        <v>7.9524934125953983</v>
      </c>
      <c r="G28" s="2">
        <v>20.321302818613788</v>
      </c>
      <c r="H28" s="2">
        <v>6.3965772787597874</v>
      </c>
      <c r="I28" s="2">
        <v>15.893661477214973</v>
      </c>
      <c r="J28" s="2">
        <v>17.375452991294928</v>
      </c>
      <c r="K28" s="2">
        <v>10.780780157240665</v>
      </c>
    </row>
    <row r="29" spans="2:11" x14ac:dyDescent="0.3">
      <c r="B29" s="3">
        <v>45231</v>
      </c>
      <c r="C29" s="2">
        <v>9.3141267202284794</v>
      </c>
      <c r="D29" s="2">
        <v>9.6645264414216996</v>
      </c>
      <c r="E29" s="2">
        <v>11.396262006155689</v>
      </c>
      <c r="F29" s="2">
        <v>20.544878546704574</v>
      </c>
      <c r="G29" s="2">
        <v>5.9150072722287366</v>
      </c>
      <c r="H29" s="2">
        <v>18.448187837522759</v>
      </c>
      <c r="I29" s="2">
        <v>20.91805781771226</v>
      </c>
      <c r="J29" s="2">
        <v>14.236667431432721</v>
      </c>
      <c r="K29" s="2">
        <v>10.847984180047726</v>
      </c>
    </row>
    <row r="30" spans="2:11" x14ac:dyDescent="0.3">
      <c r="B30" s="3">
        <v>45261</v>
      </c>
      <c r="C30" s="2">
        <v>12.639444320917748</v>
      </c>
      <c r="D30" s="2">
        <v>18.22953029088599</v>
      </c>
      <c r="E30" s="2">
        <v>11.851836243250734</v>
      </c>
      <c r="F30" s="2">
        <v>14.7776490843974</v>
      </c>
      <c r="G30" s="2">
        <v>11.407563294114514</v>
      </c>
      <c r="H30" s="2">
        <v>10.058629373751563</v>
      </c>
      <c r="I30" s="2">
        <v>17.192281380564747</v>
      </c>
      <c r="J30" s="2">
        <v>2.6102865259699826</v>
      </c>
      <c r="K30" s="2">
        <v>9.024570489162846</v>
      </c>
    </row>
    <row r="31" spans="2:11" x14ac:dyDescent="0.3">
      <c r="B31" s="3">
        <v>45292</v>
      </c>
      <c r="C31" s="2">
        <v>12.455273975318359</v>
      </c>
      <c r="D31" s="2">
        <v>3.39836065651106</v>
      </c>
      <c r="E31" s="2">
        <v>19.406712889466561</v>
      </c>
      <c r="F31" s="2">
        <v>5.1383501983288342</v>
      </c>
      <c r="G31" s="2">
        <v>2.7254668365291943</v>
      </c>
      <c r="H31" s="2">
        <v>7.580597938469821</v>
      </c>
      <c r="I31" s="2">
        <v>7.4202521303214288</v>
      </c>
      <c r="J31" s="2">
        <v>1.0154749085115837</v>
      </c>
      <c r="K31" s="2">
        <v>13.701381878549812</v>
      </c>
    </row>
    <row r="32" spans="2:11" x14ac:dyDescent="0.3">
      <c r="B32" s="3">
        <v>45323</v>
      </c>
      <c r="C32" s="2">
        <v>20.340312765502436</v>
      </c>
      <c r="D32" s="2">
        <v>3.9081382476843323</v>
      </c>
      <c r="E32" s="2">
        <v>18.459807421486911</v>
      </c>
      <c r="F32" s="2">
        <v>3.8153542208532203</v>
      </c>
      <c r="G32" s="2">
        <v>9.7410089446631982</v>
      </c>
      <c r="H32" s="2">
        <v>7.5249910038639918</v>
      </c>
      <c r="I32" s="2">
        <v>3.5746383224945868</v>
      </c>
      <c r="J32" s="2">
        <v>20.308625731387369</v>
      </c>
      <c r="K32" s="2">
        <v>16.237157581073362</v>
      </c>
    </row>
    <row r="33" spans="2:11" x14ac:dyDescent="0.3">
      <c r="B33" s="3">
        <v>45352</v>
      </c>
      <c r="C33" s="2">
        <v>16.731412145449593</v>
      </c>
      <c r="D33" s="2">
        <v>1.7340989023847042</v>
      </c>
      <c r="E33" s="2">
        <v>3.8336387881034755</v>
      </c>
      <c r="F33" s="2">
        <v>9.9859390642919177</v>
      </c>
      <c r="G33" s="2">
        <v>3.4208129515347938</v>
      </c>
      <c r="H33" s="2">
        <v>7.3729371830742965</v>
      </c>
      <c r="I33" s="2">
        <v>18.115631710140068</v>
      </c>
      <c r="J33" s="2">
        <v>12.169709950890613</v>
      </c>
      <c r="K33" s="2">
        <v>7.2040229059740239</v>
      </c>
    </row>
    <row r="34" spans="2:11" x14ac:dyDescent="0.3">
      <c r="B34" s="3">
        <v>45383</v>
      </c>
      <c r="C34" s="2">
        <v>13.231585004399756</v>
      </c>
      <c r="D34" s="2">
        <v>8.5906739653102537</v>
      </c>
      <c r="E34" s="2">
        <v>4.4439638808074573</v>
      </c>
      <c r="F34" s="2">
        <v>1.8840082058781236</v>
      </c>
      <c r="G34" s="2">
        <v>11.510075463441749</v>
      </c>
      <c r="H34" s="2">
        <v>8.1093903193670656</v>
      </c>
      <c r="I34" s="2">
        <v>5.8384642419958386</v>
      </c>
      <c r="J34" s="2">
        <v>15.358286349768926</v>
      </c>
      <c r="K34" s="2">
        <v>1.1955099382119774</v>
      </c>
    </row>
    <row r="35" spans="2:11" x14ac:dyDescent="0.3">
      <c r="B35" s="3">
        <v>45413</v>
      </c>
      <c r="C35" s="2">
        <v>2.8038874199353749</v>
      </c>
      <c r="D35" s="2">
        <v>2.3532104747741469</v>
      </c>
      <c r="E35" s="2">
        <v>2.8449241534443868</v>
      </c>
      <c r="F35" s="2">
        <v>20.364436323727908</v>
      </c>
      <c r="G35" s="2">
        <v>18.51373489935035</v>
      </c>
      <c r="H35" s="2">
        <v>6.946129725044166</v>
      </c>
      <c r="I35" s="2">
        <v>11.812477999024347</v>
      </c>
      <c r="J35" s="2">
        <v>3.1357547977734876</v>
      </c>
      <c r="K35" s="2">
        <v>14.942693261752696</v>
      </c>
    </row>
    <row r="36" spans="2:11" x14ac:dyDescent="0.3">
      <c r="B36" s="3">
        <v>45444</v>
      </c>
      <c r="C36" s="2">
        <v>16.672452912194064</v>
      </c>
      <c r="D36" s="2">
        <v>1.439916349254285</v>
      </c>
      <c r="E36" s="2">
        <v>17.835578399157054</v>
      </c>
      <c r="F36" s="2">
        <v>4.9070181480885635</v>
      </c>
      <c r="G36" s="2">
        <v>12.544971140988054</v>
      </c>
      <c r="H36" s="2">
        <v>10.821750643880851</v>
      </c>
      <c r="I36" s="2">
        <v>15.394240500192153</v>
      </c>
      <c r="J36" s="2">
        <v>14.726358756731379</v>
      </c>
      <c r="K36" s="2">
        <v>11.910673028653566</v>
      </c>
    </row>
    <row r="37" spans="2:11" x14ac:dyDescent="0.3">
      <c r="B37" s="3">
        <v>45474</v>
      </c>
      <c r="C37" s="2">
        <v>5.4467614186351971</v>
      </c>
      <c r="D37" s="2">
        <v>17.712876974361642</v>
      </c>
      <c r="E37" s="2">
        <v>4.0192512202610802</v>
      </c>
      <c r="F37" s="2">
        <v>12.664502474051027</v>
      </c>
      <c r="G37" s="2">
        <v>4.8290751299396879</v>
      </c>
      <c r="H37" s="2">
        <v>18.219608622101518</v>
      </c>
      <c r="I37" s="2">
        <v>8.0487267562088665</v>
      </c>
      <c r="J37" s="2">
        <v>17.05296038069223</v>
      </c>
      <c r="K37" s="2">
        <v>7.5615618149562609</v>
      </c>
    </row>
    <row r="38" spans="2:11" x14ac:dyDescent="0.3">
      <c r="B38" s="3">
        <v>45505</v>
      </c>
      <c r="C38" s="2">
        <v>11.457713083028603</v>
      </c>
      <c r="D38" s="2">
        <v>2.8171130176846866</v>
      </c>
      <c r="E38" s="2">
        <v>9.2477739681360482</v>
      </c>
      <c r="F38" s="2">
        <v>1.0672352973859311</v>
      </c>
      <c r="G38" s="2">
        <v>14.60551691268612</v>
      </c>
      <c r="H38" s="2">
        <v>14.292867693393791</v>
      </c>
      <c r="I38" s="2">
        <v>3.5644967777448633</v>
      </c>
      <c r="J38" s="2">
        <v>16.282799056890244</v>
      </c>
      <c r="K38" s="2">
        <v>1.4021314130050702</v>
      </c>
    </row>
    <row r="39" spans="2:11" x14ac:dyDescent="0.3">
      <c r="B39" s="3">
        <v>45536</v>
      </c>
      <c r="C39" s="2">
        <v>2.0938533433495929</v>
      </c>
      <c r="D39" s="2">
        <v>20.267740973606958</v>
      </c>
      <c r="E39" s="2">
        <v>18.452805879801623</v>
      </c>
      <c r="F39" s="2">
        <v>18.59948405198276</v>
      </c>
      <c r="G39" s="2">
        <v>14.96430831709633</v>
      </c>
      <c r="H39" s="2">
        <v>5.427014740488505</v>
      </c>
      <c r="I39" s="2">
        <v>6.5478225972375892</v>
      </c>
      <c r="J39" s="2">
        <v>6.3921221128185701</v>
      </c>
      <c r="K39" s="2">
        <v>5.5357620086410186</v>
      </c>
    </row>
    <row r="40" spans="2:11" x14ac:dyDescent="0.3">
      <c r="B40" s="3">
        <v>45566</v>
      </c>
      <c r="C40" s="2">
        <v>14.745096094505342</v>
      </c>
      <c r="D40" s="2">
        <v>18.010773723104986</v>
      </c>
      <c r="E40" s="2">
        <v>4.1689932470504418</v>
      </c>
      <c r="F40" s="2">
        <v>14.511540109909603</v>
      </c>
      <c r="G40" s="2">
        <v>18.432751343780996</v>
      </c>
      <c r="H40" s="2">
        <v>11.811695025417547</v>
      </c>
      <c r="I40" s="2">
        <v>13.860518467067056</v>
      </c>
      <c r="J40" s="2">
        <v>16.261442323184269</v>
      </c>
      <c r="K40" s="2">
        <v>3.693595167869991</v>
      </c>
    </row>
    <row r="41" spans="2:11" x14ac:dyDescent="0.3">
      <c r="B41" s="3">
        <v>45597</v>
      </c>
      <c r="C41" s="2">
        <v>17.610554911174486</v>
      </c>
      <c r="D41" s="2">
        <v>19.210050112751571</v>
      </c>
      <c r="E41" s="2">
        <v>2.3771552611149884</v>
      </c>
      <c r="F41" s="2">
        <v>5.83218203478412</v>
      </c>
      <c r="G41" s="2">
        <v>3.9821682699737457</v>
      </c>
      <c r="H41" s="2">
        <v>19.019453759754402</v>
      </c>
      <c r="I41" s="2">
        <v>2.0715309759359259</v>
      </c>
      <c r="J41" s="2">
        <v>13.447471575765075</v>
      </c>
      <c r="K41" s="2">
        <v>12.606266431336811</v>
      </c>
    </row>
    <row r="42" spans="2:11" x14ac:dyDescent="0.3">
      <c r="B42" s="3">
        <v>45627</v>
      </c>
      <c r="C42" s="2">
        <v>14.42793357046464</v>
      </c>
      <c r="D42" s="2">
        <v>6.9799765794439192</v>
      </c>
      <c r="E42" s="2">
        <v>13.012574041448277</v>
      </c>
      <c r="F42" s="2">
        <v>18.879001241967046</v>
      </c>
      <c r="G42" s="2">
        <v>6.0538370105144832</v>
      </c>
      <c r="H42" s="2">
        <v>4.3978634236714109</v>
      </c>
      <c r="I42" s="2">
        <v>11.259396559724943</v>
      </c>
      <c r="J42" s="2">
        <v>10.474236846166594</v>
      </c>
      <c r="K42" s="2">
        <v>10.019830343622727</v>
      </c>
    </row>
    <row r="43" spans="2:11" x14ac:dyDescent="0.3">
      <c r="B43" s="3">
        <v>45658</v>
      </c>
      <c r="C43" s="2">
        <v>20.697572145559985</v>
      </c>
      <c r="D43" s="2">
        <v>18.45047298040101</v>
      </c>
      <c r="E43" s="2">
        <v>20.328508095326317</v>
      </c>
      <c r="F43" s="2">
        <v>16.966909706217972</v>
      </c>
      <c r="G43" s="2">
        <v>19.25351548550243</v>
      </c>
      <c r="H43" s="2">
        <v>9.5576608179621303</v>
      </c>
      <c r="I43" s="2">
        <v>8.403625502244175</v>
      </c>
      <c r="J43" s="2">
        <v>12.348888453310567</v>
      </c>
      <c r="K43" s="2">
        <v>4.8572445763070817</v>
      </c>
    </row>
    <row r="44" spans="2:11" x14ac:dyDescent="0.3">
      <c r="B44" s="3">
        <v>45689</v>
      </c>
      <c r="C44" s="2">
        <v>2.6556651912601552</v>
      </c>
      <c r="D44" s="2">
        <v>6.7573172902196523</v>
      </c>
      <c r="E44" s="2">
        <v>11.952204225428599</v>
      </c>
      <c r="F44" s="2">
        <v>5.2750008710993601</v>
      </c>
      <c r="G44" s="2">
        <v>7.7571449492143447</v>
      </c>
      <c r="H44" s="2">
        <v>10.465859486987533</v>
      </c>
      <c r="I44" s="2">
        <v>9.6166159420185551</v>
      </c>
      <c r="J44" s="2">
        <v>16.489205381599653</v>
      </c>
      <c r="K44" s="2">
        <v>12.053767673158472</v>
      </c>
    </row>
    <row r="45" spans="2:11" x14ac:dyDescent="0.3">
      <c r="B45" s="3">
        <v>45717</v>
      </c>
      <c r="C45" s="2">
        <v>8.0110360785369288</v>
      </c>
      <c r="D45" s="2">
        <v>5.9308025196468908</v>
      </c>
      <c r="E45" s="2">
        <v>14.096139315703729</v>
      </c>
      <c r="F45" s="2">
        <v>8.3417149459551521</v>
      </c>
      <c r="G45" s="2">
        <v>9.1880273218953334</v>
      </c>
      <c r="H45" s="2">
        <v>4.6636182273618223</v>
      </c>
      <c r="I45" s="2">
        <v>4.1113929193297301</v>
      </c>
      <c r="J45" s="2">
        <v>3.9794176170176012</v>
      </c>
      <c r="K45" s="2">
        <v>1.6715541785819779</v>
      </c>
    </row>
    <row r="46" spans="2:11" x14ac:dyDescent="0.3">
      <c r="B46" s="3">
        <v>45748</v>
      </c>
      <c r="C46" s="2">
        <v>16.997608434959012</v>
      </c>
      <c r="D46" s="2">
        <v>4.9957536648340524</v>
      </c>
      <c r="E46" s="2">
        <v>7.2198826895863908</v>
      </c>
      <c r="F46" s="2">
        <v>19.800262445790594</v>
      </c>
      <c r="G46" s="2">
        <v>8.1862938833483359</v>
      </c>
      <c r="H46" s="2">
        <v>17.004124944429353</v>
      </c>
      <c r="I46" s="2">
        <v>8.4763606982978104</v>
      </c>
      <c r="J46" s="2">
        <v>12.696911321281243</v>
      </c>
      <c r="K46" s="2">
        <v>2.2797392295515526</v>
      </c>
    </row>
    <row r="47" spans="2:11" x14ac:dyDescent="0.3">
      <c r="B47" s="3">
        <v>45778</v>
      </c>
      <c r="C47" s="2">
        <v>10.545716365752268</v>
      </c>
      <c r="D47" s="2">
        <v>6.6823451087372412</v>
      </c>
      <c r="E47" s="2">
        <v>6.7789831036083212</v>
      </c>
      <c r="F47" s="2">
        <v>5.5559982545806523</v>
      </c>
      <c r="G47" s="2">
        <v>19.665385645360121</v>
      </c>
      <c r="H47" s="2">
        <v>20.874867255592076</v>
      </c>
      <c r="I47" s="2">
        <v>17.819155588440296</v>
      </c>
      <c r="J47" s="2">
        <v>9.6608167907630911</v>
      </c>
      <c r="K47" s="2">
        <v>9.8314121876233056</v>
      </c>
    </row>
    <row r="48" spans="2:11" x14ac:dyDescent="0.3">
      <c r="B48" s="3">
        <v>45809</v>
      </c>
      <c r="C48" s="2">
        <v>6.9102223290029769</v>
      </c>
      <c r="D48" s="2">
        <v>19.20021492455632</v>
      </c>
      <c r="E48" s="2">
        <v>17.013263541947037</v>
      </c>
      <c r="F48" s="2">
        <v>1.3046167060451639</v>
      </c>
      <c r="G48" s="2">
        <v>13.56657953401764</v>
      </c>
      <c r="H48" s="2">
        <v>2.2011665516845196</v>
      </c>
      <c r="I48" s="2">
        <v>7.2011985896132886</v>
      </c>
      <c r="J48" s="2">
        <v>4.0844127639157373</v>
      </c>
      <c r="K48" s="2">
        <v>7.798610100028192</v>
      </c>
    </row>
    <row r="49" spans="2:11" x14ac:dyDescent="0.3">
      <c r="B49" s="3">
        <v>45839</v>
      </c>
      <c r="C49" s="2">
        <v>8.9901166417813041</v>
      </c>
      <c r="D49" s="2">
        <v>14.539578038424693</v>
      </c>
      <c r="E49" s="2">
        <v>11.24960146043736</v>
      </c>
      <c r="F49" s="2">
        <v>2.5595337603153832</v>
      </c>
      <c r="G49" s="2">
        <v>17.109079196324139</v>
      </c>
      <c r="H49" s="2">
        <v>12.070156943532558</v>
      </c>
      <c r="I49" s="2">
        <v>2.1807099191992849</v>
      </c>
      <c r="J49" s="2">
        <v>5.258201222105086</v>
      </c>
      <c r="K49" s="2">
        <v>12.152149468458694</v>
      </c>
    </row>
    <row r="50" spans="2:11" x14ac:dyDescent="0.3">
      <c r="B50" s="3">
        <v>45870</v>
      </c>
      <c r="C50" s="2">
        <v>3.4571105146441341</v>
      </c>
      <c r="D50" s="2">
        <v>13.165180326785547</v>
      </c>
      <c r="E50" s="2">
        <v>17.248667039521955</v>
      </c>
      <c r="F50" s="2">
        <v>7.5569923046763758</v>
      </c>
      <c r="G50" s="2">
        <v>1.984498914565628</v>
      </c>
      <c r="H50" s="2">
        <v>13.335779254115378</v>
      </c>
      <c r="I50" s="2">
        <v>2.9720625980105506</v>
      </c>
      <c r="J50" s="2">
        <v>10.90173086893882</v>
      </c>
      <c r="K50" s="2">
        <v>18.689552459969239</v>
      </c>
    </row>
    <row r="51" spans="2:11" x14ac:dyDescent="0.3">
      <c r="B51" s="3">
        <v>45901</v>
      </c>
      <c r="C51" s="2">
        <v>3.6499805628180932</v>
      </c>
      <c r="D51" s="2">
        <v>7.6699724850610709</v>
      </c>
      <c r="E51" s="2">
        <v>14.668034876962466</v>
      </c>
      <c r="F51" s="2">
        <v>6.7333288054696423</v>
      </c>
      <c r="G51" s="2">
        <v>12.835490128461915</v>
      </c>
      <c r="H51" s="2">
        <v>10.095375130547321</v>
      </c>
      <c r="I51" s="2">
        <v>5.4696627802466269</v>
      </c>
      <c r="J51" s="2">
        <v>9.7859154650417839</v>
      </c>
      <c r="K51" s="2">
        <v>1.0949250005126552</v>
      </c>
    </row>
    <row r="52" spans="2:11" x14ac:dyDescent="0.3">
      <c r="B52" s="3">
        <v>45931</v>
      </c>
      <c r="C52" s="2">
        <v>9.4448777084151185</v>
      </c>
      <c r="D52" s="2">
        <v>1.8846415054839731</v>
      </c>
      <c r="E52" s="2">
        <v>3.7843934987014185</v>
      </c>
      <c r="F52" s="2">
        <v>4.7720098970994753</v>
      </c>
      <c r="G52" s="2">
        <v>5.9388411094406255</v>
      </c>
      <c r="H52" s="2">
        <v>3.9179168269519455</v>
      </c>
      <c r="I52" s="2">
        <v>14.231421522728944</v>
      </c>
      <c r="J52" s="2">
        <v>16.294231477142212</v>
      </c>
      <c r="K52" s="2">
        <v>7.4325764744473446</v>
      </c>
    </row>
    <row r="53" spans="2:11" x14ac:dyDescent="0.3">
      <c r="B53" s="3">
        <v>45962</v>
      </c>
      <c r="C53" s="2">
        <v>10.207698398027413</v>
      </c>
      <c r="D53" s="2">
        <v>9.8459436173681816</v>
      </c>
      <c r="E53" s="2">
        <v>14.395596961434705</v>
      </c>
      <c r="F53" s="2">
        <v>15.950811885924397</v>
      </c>
      <c r="G53" s="2">
        <v>10.712799814523395</v>
      </c>
      <c r="H53" s="2">
        <v>2.225369809297117</v>
      </c>
      <c r="I53" s="2">
        <v>14.539818641574612</v>
      </c>
      <c r="J53" s="2">
        <v>3.7114969826075255</v>
      </c>
      <c r="K53" s="2">
        <v>18.226527715157168</v>
      </c>
    </row>
    <row r="54" spans="2:11" x14ac:dyDescent="0.3">
      <c r="B54" s="3">
        <v>45992</v>
      </c>
      <c r="C54" s="2">
        <v>19.175911117762787</v>
      </c>
      <c r="D54" s="2">
        <v>16.014539377762389</v>
      </c>
      <c r="E54" s="2">
        <v>11.132068910184259</v>
      </c>
      <c r="F54" s="2">
        <v>19.734393551515907</v>
      </c>
      <c r="G54" s="2">
        <v>7.5806592207421</v>
      </c>
      <c r="H54" s="2">
        <v>13.490493160486093</v>
      </c>
      <c r="I54" s="2">
        <v>13.269325903798526</v>
      </c>
      <c r="J54" s="2">
        <v>19.056679502911692</v>
      </c>
      <c r="K54" s="2">
        <v>10.292394326704045</v>
      </c>
    </row>
    <row r="55" spans="2:11" x14ac:dyDescent="0.3">
      <c r="B55" s="3">
        <v>46023</v>
      </c>
      <c r="C55" s="2">
        <v>16.936290118561313</v>
      </c>
      <c r="D55" s="2">
        <v>18.310910862700073</v>
      </c>
      <c r="E55" s="2">
        <v>7.7597375137856837</v>
      </c>
      <c r="F55" s="2">
        <v>13.93857943651396</v>
      </c>
      <c r="G55" s="2">
        <v>20.635714562885646</v>
      </c>
      <c r="H55" s="2">
        <v>18.048184850081842</v>
      </c>
      <c r="I55" s="2">
        <v>1.5153473140639822</v>
      </c>
      <c r="J55" s="2">
        <v>17.032039722614243</v>
      </c>
      <c r="K55" s="2">
        <v>15.457435340098725</v>
      </c>
    </row>
    <row r="56" spans="2:11" x14ac:dyDescent="0.3">
      <c r="B56" s="3">
        <v>46054</v>
      </c>
      <c r="C56" s="2">
        <v>1.4203245081946321</v>
      </c>
      <c r="D56" s="2">
        <v>3.6892311956952075</v>
      </c>
      <c r="E56" s="2">
        <v>13.343783203445877</v>
      </c>
      <c r="F56" s="2">
        <v>18.102007758144541</v>
      </c>
      <c r="G56" s="2">
        <v>5.6851473854471797</v>
      </c>
      <c r="H56" s="2">
        <v>17.29549645442944</v>
      </c>
      <c r="I56" s="2">
        <v>5.3823668512628204</v>
      </c>
      <c r="J56" s="2">
        <v>20.831162719461634</v>
      </c>
      <c r="K56" s="2">
        <v>13.110944568948309</v>
      </c>
    </row>
    <row r="57" spans="2:11" x14ac:dyDescent="0.3">
      <c r="B57" s="3">
        <v>46082</v>
      </c>
      <c r="C57" s="2">
        <v>14.529214866490058</v>
      </c>
      <c r="D57" s="2">
        <v>20.007387480040208</v>
      </c>
      <c r="E57" s="2">
        <v>11.791109334986229</v>
      </c>
      <c r="F57" s="2">
        <v>15.373637546204241</v>
      </c>
      <c r="G57" s="2">
        <v>8.2945704632117678</v>
      </c>
      <c r="H57" s="2">
        <v>19.316755147840468</v>
      </c>
      <c r="I57" s="2">
        <v>10.496517519518767</v>
      </c>
      <c r="J57" s="2">
        <v>15.513696786421431</v>
      </c>
      <c r="K57" s="2">
        <v>19.892248836534982</v>
      </c>
    </row>
    <row r="59" spans="2:11" x14ac:dyDescent="0.3">
      <c r="B59" t="s">
        <v>35</v>
      </c>
      <c r="C59">
        <f t="shared" ref="C59:K59" si="1">AVERAGE(C22:C57)</f>
        <v>11.142859666645794</v>
      </c>
      <c r="D59">
        <f t="shared" si="1"/>
        <v>10.559672609081701</v>
      </c>
      <c r="E59">
        <f t="shared" si="1"/>
        <v>10.571919256438129</v>
      </c>
      <c r="F59">
        <f t="shared" si="1"/>
        <v>11.074996093970071</v>
      </c>
      <c r="G59">
        <f t="shared" si="1"/>
        <v>10.515964078339781</v>
      </c>
      <c r="H59">
        <f t="shared" si="1"/>
        <v>11.498429558784752</v>
      </c>
      <c r="I59">
        <f t="shared" si="1"/>
        <v>10.25701383102831</v>
      </c>
      <c r="J59">
        <f t="shared" si="1"/>
        <v>11.851383655952423</v>
      </c>
      <c r="K59">
        <f t="shared" si="1"/>
        <v>9.7362916706288072</v>
      </c>
    </row>
    <row r="60" spans="2:11" x14ac:dyDescent="0.3">
      <c r="B60" t="s">
        <v>36</v>
      </c>
      <c r="C60" s="8">
        <f t="shared" ref="C60:K60" si="2">(C57-C59)%</f>
        <v>3.386355199844264E-2</v>
      </c>
      <c r="D60" s="8">
        <f t="shared" si="2"/>
        <v>9.4477148709585068E-2</v>
      </c>
      <c r="E60" s="8">
        <f t="shared" si="2"/>
        <v>1.2191900785481007E-2</v>
      </c>
      <c r="F60" s="8">
        <f t="shared" si="2"/>
        <v>4.2986414522341698E-2</v>
      </c>
      <c r="G60" s="8">
        <f t="shared" si="2"/>
        <v>-2.2213936151280134E-2</v>
      </c>
      <c r="H60" s="8">
        <f t="shared" si="2"/>
        <v>7.8183255890557163E-2</v>
      </c>
      <c r="I60" s="8">
        <f t="shared" si="2"/>
        <v>2.3950368849045668E-3</v>
      </c>
      <c r="J60" s="8">
        <f t="shared" si="2"/>
        <v>3.6623131304690075E-2</v>
      </c>
      <c r="K60" s="8">
        <f t="shared" si="2"/>
        <v>0.10155957165906175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DF6-2B00-4A95-B59C-D06506DA4A37}">
  <dimension ref="B1:AT40"/>
  <sheetViews>
    <sheetView tabSelected="1" topLeftCell="A4" workbookViewId="0">
      <selection activeCell="A16" sqref="A16"/>
    </sheetView>
  </sheetViews>
  <sheetFormatPr defaultRowHeight="14.4" x14ac:dyDescent="0.3"/>
  <cols>
    <col min="2" max="2" width="23.44140625" customWidth="1"/>
    <col min="3" max="3" width="12.44140625" customWidth="1"/>
    <col min="4" max="4" width="12.21875" customWidth="1"/>
    <col min="5" max="5" width="17.77734375" customWidth="1"/>
    <col min="6" max="6" width="18.21875" customWidth="1"/>
  </cols>
  <sheetData>
    <row r="1" spans="2:46" x14ac:dyDescent="0.3">
      <c r="B1" t="s">
        <v>211</v>
      </c>
    </row>
    <row r="4" spans="2:46" ht="34.799999999999997" customHeight="1" x14ac:dyDescent="0.3">
      <c r="B4" s="28" t="s">
        <v>212</v>
      </c>
      <c r="C4" s="26" t="s">
        <v>217</v>
      </c>
      <c r="D4" s="27"/>
      <c r="E4" s="27"/>
      <c r="F4" s="27"/>
      <c r="G4" s="26" t="s">
        <v>218</v>
      </c>
      <c r="H4" s="27"/>
      <c r="I4" s="27"/>
      <c r="J4" s="27"/>
      <c r="K4" s="26" t="s">
        <v>47</v>
      </c>
      <c r="L4" s="27"/>
      <c r="M4" s="27"/>
      <c r="N4" s="27"/>
      <c r="O4" s="26" t="s">
        <v>7</v>
      </c>
      <c r="P4" s="27"/>
      <c r="Q4" s="27"/>
      <c r="R4" s="27"/>
      <c r="S4" s="26" t="s">
        <v>41</v>
      </c>
      <c r="T4" s="27"/>
      <c r="U4" s="27"/>
      <c r="V4" s="27"/>
      <c r="W4" s="26" t="s">
        <v>6</v>
      </c>
      <c r="X4" s="27"/>
      <c r="Y4" s="27"/>
      <c r="Z4" s="27"/>
      <c r="AA4" s="26" t="s">
        <v>219</v>
      </c>
      <c r="AB4" s="27"/>
      <c r="AC4" s="27"/>
      <c r="AD4" s="27"/>
      <c r="AE4" s="26" t="s">
        <v>220</v>
      </c>
      <c r="AF4" s="27"/>
      <c r="AG4" s="27"/>
      <c r="AH4" s="27"/>
      <c r="AI4" s="26" t="s">
        <v>52</v>
      </c>
      <c r="AJ4" s="27"/>
      <c r="AK4" s="27"/>
      <c r="AL4" s="27"/>
      <c r="AM4" s="26" t="s">
        <v>54</v>
      </c>
      <c r="AN4" s="27"/>
      <c r="AO4" s="27"/>
      <c r="AP4" s="27"/>
      <c r="AQ4" s="26" t="s">
        <v>50</v>
      </c>
      <c r="AR4" s="27"/>
      <c r="AS4" s="27"/>
      <c r="AT4" s="27"/>
    </row>
    <row r="5" spans="2:46" ht="42" customHeight="1" x14ac:dyDescent="0.3">
      <c r="B5" s="28"/>
      <c r="C5" s="15" t="s">
        <v>213</v>
      </c>
      <c r="D5" s="15" t="s">
        <v>214</v>
      </c>
      <c r="E5" s="15" t="s">
        <v>215</v>
      </c>
      <c r="F5" s="15" t="s">
        <v>216</v>
      </c>
      <c r="G5" s="15" t="s">
        <v>213</v>
      </c>
      <c r="H5" s="15" t="s">
        <v>214</v>
      </c>
      <c r="I5" s="15" t="s">
        <v>215</v>
      </c>
      <c r="J5" s="15" t="s">
        <v>216</v>
      </c>
      <c r="K5" s="15" t="s">
        <v>213</v>
      </c>
      <c r="L5" s="15" t="s">
        <v>214</v>
      </c>
      <c r="M5" s="15" t="s">
        <v>215</v>
      </c>
      <c r="N5" s="15" t="s">
        <v>216</v>
      </c>
      <c r="O5" s="15" t="s">
        <v>213</v>
      </c>
      <c r="P5" s="15" t="s">
        <v>214</v>
      </c>
      <c r="Q5" s="15" t="s">
        <v>215</v>
      </c>
      <c r="R5" s="15" t="s">
        <v>216</v>
      </c>
      <c r="S5" s="15" t="s">
        <v>213</v>
      </c>
      <c r="T5" s="15" t="s">
        <v>214</v>
      </c>
      <c r="U5" s="15" t="s">
        <v>215</v>
      </c>
      <c r="V5" s="15" t="s">
        <v>216</v>
      </c>
      <c r="W5" s="15" t="s">
        <v>213</v>
      </c>
      <c r="X5" s="15" t="s">
        <v>214</v>
      </c>
      <c r="Y5" s="15" t="s">
        <v>215</v>
      </c>
      <c r="Z5" s="15" t="s">
        <v>216</v>
      </c>
      <c r="AA5" s="15" t="s">
        <v>213</v>
      </c>
      <c r="AB5" s="15" t="s">
        <v>214</v>
      </c>
      <c r="AC5" s="15" t="s">
        <v>215</v>
      </c>
      <c r="AD5" s="15" t="s">
        <v>216</v>
      </c>
      <c r="AE5" s="15" t="s">
        <v>213</v>
      </c>
      <c r="AF5" s="15" t="s">
        <v>214</v>
      </c>
      <c r="AG5" s="15" t="s">
        <v>215</v>
      </c>
      <c r="AH5" s="15" t="s">
        <v>216</v>
      </c>
      <c r="AI5" s="15" t="s">
        <v>213</v>
      </c>
      <c r="AJ5" s="15" t="s">
        <v>214</v>
      </c>
      <c r="AK5" s="15" t="s">
        <v>215</v>
      </c>
      <c r="AL5" s="15" t="s">
        <v>216</v>
      </c>
      <c r="AM5" s="15" t="s">
        <v>213</v>
      </c>
      <c r="AN5" s="15" t="s">
        <v>214</v>
      </c>
      <c r="AO5" s="15" t="s">
        <v>215</v>
      </c>
      <c r="AP5" s="15" t="s">
        <v>216</v>
      </c>
      <c r="AQ5" s="15" t="s">
        <v>213</v>
      </c>
      <c r="AR5" s="15" t="s">
        <v>214</v>
      </c>
      <c r="AS5" s="15" t="s">
        <v>215</v>
      </c>
      <c r="AT5" s="15" t="s">
        <v>216</v>
      </c>
    </row>
    <row r="6" spans="2:46" x14ac:dyDescent="0.3">
      <c r="B6" s="2" t="s">
        <v>221</v>
      </c>
      <c r="C6" s="2">
        <v>123</v>
      </c>
      <c r="D6" s="2">
        <v>350000</v>
      </c>
      <c r="E6" s="16">
        <v>2.4500000000000001E-2</v>
      </c>
      <c r="F6" s="2">
        <v>11.45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2:46" x14ac:dyDescent="0.3">
      <c r="B7" s="2" t="s">
        <v>222</v>
      </c>
      <c r="C7" s="2">
        <v>12</v>
      </c>
      <c r="D7" s="2">
        <v>5.67</v>
      </c>
      <c r="E7" s="16">
        <v>2.4500000000000001E-2</v>
      </c>
      <c r="F7" s="2">
        <v>0.33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2:46" x14ac:dyDescent="0.3">
      <c r="B8" s="2" t="s">
        <v>223</v>
      </c>
      <c r="C8" s="2">
        <v>4</v>
      </c>
      <c r="D8" s="2">
        <v>1.45</v>
      </c>
      <c r="E8" s="16">
        <v>2.4500000000000001E-2</v>
      </c>
      <c r="F8" s="2">
        <v>0.33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2:46" x14ac:dyDescent="0.3">
      <c r="B9" s="2" t="s">
        <v>224</v>
      </c>
      <c r="C9" s="2">
        <v>5</v>
      </c>
      <c r="D9" s="2">
        <v>2.5</v>
      </c>
      <c r="E9" s="16">
        <v>2.4500000000000001E-2</v>
      </c>
      <c r="F9" s="2">
        <v>0.12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2:46" x14ac:dyDescent="0.3">
      <c r="B10" s="17" t="s">
        <v>225</v>
      </c>
      <c r="C10" s="17">
        <f>SUM(C6:C9)</f>
        <v>144</v>
      </c>
      <c r="D10" s="17">
        <f>SUM(D6:D9)</f>
        <v>350009.62</v>
      </c>
      <c r="E10" s="18">
        <v>2.4500000000000001E-2</v>
      </c>
      <c r="F10" s="17">
        <f>SUM(F6:F9)</f>
        <v>12.229999999999999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</row>
    <row r="19" spans="2:20" x14ac:dyDescent="0.3">
      <c r="B19" t="s">
        <v>226</v>
      </c>
    </row>
    <row r="22" spans="2:20" x14ac:dyDescent="0.3">
      <c r="B22" t="s">
        <v>227</v>
      </c>
    </row>
    <row r="24" spans="2:20" x14ac:dyDescent="0.3">
      <c r="B24" s="24"/>
      <c r="C24" s="24" t="s">
        <v>228</v>
      </c>
      <c r="D24" s="25" t="s">
        <v>229</v>
      </c>
      <c r="E24" s="23" t="s">
        <v>57</v>
      </c>
      <c r="F24" s="23" t="s">
        <v>57</v>
      </c>
      <c r="G24" s="23" t="s">
        <v>47</v>
      </c>
      <c r="H24" s="23" t="s">
        <v>47</v>
      </c>
      <c r="I24" s="23" t="s">
        <v>62</v>
      </c>
      <c r="J24" s="23" t="s">
        <v>62</v>
      </c>
      <c r="K24" s="23" t="s">
        <v>50</v>
      </c>
      <c r="L24" s="23" t="s">
        <v>50</v>
      </c>
      <c r="M24" s="23" t="s">
        <v>5</v>
      </c>
      <c r="N24" s="23" t="s">
        <v>5</v>
      </c>
      <c r="O24" s="23" t="s">
        <v>233</v>
      </c>
      <c r="P24" s="23" t="s">
        <v>233</v>
      </c>
      <c r="Q24" s="23" t="s">
        <v>7</v>
      </c>
      <c r="R24" s="23" t="s">
        <v>7</v>
      </c>
      <c r="S24" s="23" t="s">
        <v>234</v>
      </c>
      <c r="T24" s="23" t="s">
        <v>234</v>
      </c>
    </row>
    <row r="25" spans="2:20" x14ac:dyDescent="0.3">
      <c r="B25" s="24"/>
      <c r="C25" s="24"/>
      <c r="D25" s="25"/>
      <c r="E25" s="23" t="s">
        <v>230</v>
      </c>
      <c r="F25" s="23" t="s">
        <v>231</v>
      </c>
      <c r="G25" s="23" t="s">
        <v>230</v>
      </c>
      <c r="H25" s="23" t="s">
        <v>231</v>
      </c>
      <c r="I25" s="23" t="s">
        <v>230</v>
      </c>
      <c r="J25" s="23" t="s">
        <v>231</v>
      </c>
      <c r="K25" s="23" t="s">
        <v>230</v>
      </c>
      <c r="L25" s="23" t="s">
        <v>231</v>
      </c>
      <c r="M25" s="23" t="s">
        <v>230</v>
      </c>
      <c r="N25" s="23" t="s">
        <v>231</v>
      </c>
      <c r="O25" s="23" t="s">
        <v>230</v>
      </c>
      <c r="P25" s="23" t="s">
        <v>231</v>
      </c>
      <c r="Q25" s="23" t="s">
        <v>230</v>
      </c>
      <c r="R25" s="23" t="s">
        <v>231</v>
      </c>
      <c r="S25" s="23" t="s">
        <v>230</v>
      </c>
      <c r="T25" s="23" t="s">
        <v>231</v>
      </c>
    </row>
    <row r="26" spans="2:20" x14ac:dyDescent="0.3">
      <c r="B26" s="24"/>
      <c r="C26" s="24"/>
      <c r="D26" s="25"/>
      <c r="E26" s="23"/>
      <c r="F26" s="23" t="s">
        <v>232</v>
      </c>
      <c r="G26" s="23"/>
      <c r="H26" s="23" t="s">
        <v>232</v>
      </c>
      <c r="I26" s="23"/>
      <c r="J26" s="23" t="s">
        <v>232</v>
      </c>
      <c r="K26" s="23"/>
      <c r="L26" s="23" t="s">
        <v>232</v>
      </c>
      <c r="M26" s="23"/>
      <c r="N26" s="23" t="s">
        <v>232</v>
      </c>
      <c r="O26" s="23"/>
      <c r="P26" s="23" t="s">
        <v>232</v>
      </c>
      <c r="Q26" s="23"/>
      <c r="R26" s="23" t="s">
        <v>232</v>
      </c>
      <c r="S26" s="23"/>
      <c r="T26" s="23" t="s">
        <v>232</v>
      </c>
    </row>
    <row r="27" spans="2:20" x14ac:dyDescent="0.3">
      <c r="B27" s="13" t="s">
        <v>221</v>
      </c>
      <c r="C27" s="19">
        <v>86</v>
      </c>
      <c r="D27" s="20">
        <v>12480</v>
      </c>
      <c r="E27" s="19">
        <v>14</v>
      </c>
      <c r="F27" s="20">
        <v>2150</v>
      </c>
      <c r="G27" s="19">
        <v>11</v>
      </c>
      <c r="H27" s="20">
        <v>1680</v>
      </c>
      <c r="I27" s="19">
        <v>16</v>
      </c>
      <c r="J27" s="20">
        <v>2420</v>
      </c>
      <c r="K27" s="19">
        <v>7</v>
      </c>
      <c r="L27" s="19">
        <v>980</v>
      </c>
      <c r="M27" s="19">
        <v>13</v>
      </c>
      <c r="N27" s="20">
        <v>1740</v>
      </c>
      <c r="O27" s="19">
        <v>8</v>
      </c>
      <c r="P27" s="20">
        <v>1120</v>
      </c>
      <c r="Q27" s="19">
        <v>9</v>
      </c>
      <c r="R27" s="20">
        <v>1390</v>
      </c>
      <c r="S27" s="19">
        <v>8</v>
      </c>
      <c r="T27" s="20">
        <v>1000</v>
      </c>
    </row>
    <row r="28" spans="2:20" x14ac:dyDescent="0.3">
      <c r="B28" s="13" t="s">
        <v>222</v>
      </c>
      <c r="C28" s="19">
        <v>52</v>
      </c>
      <c r="D28" s="20">
        <v>7860</v>
      </c>
      <c r="E28" s="19">
        <v>9</v>
      </c>
      <c r="F28" s="20">
        <v>1240</v>
      </c>
      <c r="G28" s="19">
        <v>7</v>
      </c>
      <c r="H28" s="19">
        <v>980</v>
      </c>
      <c r="I28" s="19">
        <v>10</v>
      </c>
      <c r="J28" s="20">
        <v>1620</v>
      </c>
      <c r="K28" s="19">
        <v>4</v>
      </c>
      <c r="L28" s="19">
        <v>560</v>
      </c>
      <c r="M28" s="19">
        <v>8</v>
      </c>
      <c r="N28" s="20">
        <v>1050</v>
      </c>
      <c r="O28" s="19">
        <v>5</v>
      </c>
      <c r="P28" s="19">
        <v>710</v>
      </c>
      <c r="Q28" s="19">
        <v>5</v>
      </c>
      <c r="R28" s="19">
        <v>820</v>
      </c>
      <c r="S28" s="19">
        <v>4</v>
      </c>
      <c r="T28" s="19">
        <v>880</v>
      </c>
    </row>
    <row r="29" spans="2:20" x14ac:dyDescent="0.3">
      <c r="B29" s="13" t="s">
        <v>223</v>
      </c>
      <c r="C29" s="19">
        <v>31</v>
      </c>
      <c r="D29" s="20">
        <v>5275</v>
      </c>
      <c r="E29" s="19">
        <v>5</v>
      </c>
      <c r="F29" s="19">
        <v>840</v>
      </c>
      <c r="G29" s="19">
        <v>4</v>
      </c>
      <c r="H29" s="19">
        <v>620</v>
      </c>
      <c r="I29" s="19">
        <v>7</v>
      </c>
      <c r="J29" s="20">
        <v>1150</v>
      </c>
      <c r="K29" s="19">
        <v>3</v>
      </c>
      <c r="L29" s="19">
        <v>410</v>
      </c>
      <c r="M29" s="19">
        <v>5</v>
      </c>
      <c r="N29" s="19">
        <v>720</v>
      </c>
      <c r="O29" s="19">
        <v>2</v>
      </c>
      <c r="P29" s="19">
        <v>360</v>
      </c>
      <c r="Q29" s="19">
        <v>3</v>
      </c>
      <c r="R29" s="19">
        <v>515</v>
      </c>
      <c r="S29" s="19">
        <v>2</v>
      </c>
      <c r="T29" s="19">
        <v>660</v>
      </c>
    </row>
    <row r="30" spans="2:20" x14ac:dyDescent="0.3">
      <c r="B30" s="13" t="s">
        <v>224</v>
      </c>
      <c r="C30" s="19">
        <v>18</v>
      </c>
      <c r="D30" s="20">
        <v>3140</v>
      </c>
      <c r="E30" s="19">
        <v>3</v>
      </c>
      <c r="F30" s="19">
        <v>510</v>
      </c>
      <c r="G30" s="19">
        <v>2</v>
      </c>
      <c r="H30" s="19">
        <v>380</v>
      </c>
      <c r="I30" s="19">
        <v>4</v>
      </c>
      <c r="J30" s="19">
        <v>720</v>
      </c>
      <c r="K30" s="19">
        <v>2</v>
      </c>
      <c r="L30" s="19">
        <v>290</v>
      </c>
      <c r="M30" s="19">
        <v>3</v>
      </c>
      <c r="N30" s="19">
        <v>460</v>
      </c>
      <c r="O30" s="19">
        <v>1</v>
      </c>
      <c r="P30" s="19">
        <v>190</v>
      </c>
      <c r="Q30" s="19">
        <v>2</v>
      </c>
      <c r="R30" s="19">
        <v>310</v>
      </c>
      <c r="S30" s="19">
        <v>1</v>
      </c>
      <c r="T30" s="19">
        <v>280</v>
      </c>
    </row>
    <row r="31" spans="2:20" x14ac:dyDescent="0.3">
      <c r="B31" s="13" t="s">
        <v>11</v>
      </c>
      <c r="C31" s="21">
        <v>187</v>
      </c>
      <c r="D31" s="22">
        <v>28755</v>
      </c>
      <c r="E31" s="21">
        <v>31</v>
      </c>
      <c r="F31" s="22">
        <v>4740</v>
      </c>
      <c r="G31" s="21">
        <v>24</v>
      </c>
      <c r="H31" s="22">
        <v>3660</v>
      </c>
      <c r="I31" s="21">
        <v>37</v>
      </c>
      <c r="J31" s="22">
        <v>5910</v>
      </c>
      <c r="K31" s="21">
        <v>16</v>
      </c>
      <c r="L31" s="22">
        <v>2240</v>
      </c>
      <c r="M31" s="21">
        <v>29</v>
      </c>
      <c r="N31" s="22">
        <v>3970</v>
      </c>
      <c r="O31" s="21">
        <v>16</v>
      </c>
      <c r="P31" s="22">
        <v>2380</v>
      </c>
      <c r="Q31" s="21">
        <v>19</v>
      </c>
      <c r="R31" s="22">
        <v>3035</v>
      </c>
      <c r="S31" s="21">
        <v>15</v>
      </c>
      <c r="T31" s="22">
        <v>2820</v>
      </c>
    </row>
    <row r="33" spans="2:16" x14ac:dyDescent="0.3">
      <c r="B33" t="s">
        <v>235</v>
      </c>
    </row>
    <row r="35" spans="2:16" ht="14.4" customHeight="1" x14ac:dyDescent="0.3">
      <c r="B35" s="24"/>
      <c r="C35" s="33" t="s">
        <v>11</v>
      </c>
      <c r="D35" s="34" t="s">
        <v>11</v>
      </c>
      <c r="E35" s="23" t="s">
        <v>57</v>
      </c>
      <c r="F35" s="23" t="s">
        <v>57</v>
      </c>
      <c r="G35" s="23" t="s">
        <v>47</v>
      </c>
      <c r="H35" s="23" t="s">
        <v>47</v>
      </c>
      <c r="I35" s="23" t="s">
        <v>62</v>
      </c>
      <c r="J35" s="23" t="s">
        <v>62</v>
      </c>
      <c r="K35" s="23" t="s">
        <v>50</v>
      </c>
      <c r="L35" s="23" t="s">
        <v>50</v>
      </c>
      <c r="M35" s="23" t="s">
        <v>5</v>
      </c>
      <c r="N35" s="23" t="s">
        <v>5</v>
      </c>
      <c r="O35" s="23" t="s">
        <v>7</v>
      </c>
      <c r="P35" s="23" t="s">
        <v>7</v>
      </c>
    </row>
    <row r="36" spans="2:16" x14ac:dyDescent="0.3">
      <c r="B36" s="24"/>
      <c r="C36" s="33" t="s">
        <v>237</v>
      </c>
      <c r="D36" s="34" t="s">
        <v>236</v>
      </c>
      <c r="E36" s="23" t="s">
        <v>230</v>
      </c>
      <c r="F36" s="23" t="s">
        <v>231</v>
      </c>
      <c r="G36" s="23" t="s">
        <v>230</v>
      </c>
      <c r="H36" s="23" t="s">
        <v>231</v>
      </c>
      <c r="I36" s="23" t="s">
        <v>230</v>
      </c>
      <c r="J36" s="23" t="s">
        <v>231</v>
      </c>
      <c r="K36" s="23" t="s">
        <v>230</v>
      </c>
      <c r="L36" s="23" t="s">
        <v>231</v>
      </c>
      <c r="M36" s="23" t="s">
        <v>230</v>
      </c>
      <c r="N36" s="23" t="s">
        <v>231</v>
      </c>
      <c r="O36" s="23" t="s">
        <v>230</v>
      </c>
      <c r="P36" s="23" t="s">
        <v>231</v>
      </c>
    </row>
    <row r="37" spans="2:16" x14ac:dyDescent="0.3">
      <c r="B37" s="24"/>
      <c r="C37" s="33"/>
      <c r="D37" s="34" t="s">
        <v>232</v>
      </c>
      <c r="E37" s="23"/>
      <c r="F37" s="23" t="s">
        <v>232</v>
      </c>
      <c r="G37" s="23"/>
      <c r="H37" s="23" t="s">
        <v>232</v>
      </c>
      <c r="I37" s="23"/>
      <c r="J37" s="23" t="s">
        <v>232</v>
      </c>
      <c r="K37" s="23"/>
      <c r="L37" s="23" t="s">
        <v>232</v>
      </c>
      <c r="M37" s="23"/>
      <c r="N37" s="23" t="s">
        <v>232</v>
      </c>
      <c r="O37" s="23"/>
      <c r="P37" s="23" t="s">
        <v>232</v>
      </c>
    </row>
    <row r="38" spans="2:16" x14ac:dyDescent="0.3">
      <c r="B38" s="13" t="s">
        <v>223</v>
      </c>
      <c r="C38" s="19">
        <v>28</v>
      </c>
      <c r="D38" s="20">
        <v>6420</v>
      </c>
      <c r="E38" s="19">
        <v>5</v>
      </c>
      <c r="F38" s="20">
        <v>1180</v>
      </c>
      <c r="G38" s="19">
        <v>4</v>
      </c>
      <c r="H38" s="19">
        <v>920</v>
      </c>
      <c r="I38" s="19">
        <v>7</v>
      </c>
      <c r="J38" s="20">
        <v>1760</v>
      </c>
      <c r="K38" s="19">
        <v>3</v>
      </c>
      <c r="L38" s="19">
        <v>640</v>
      </c>
      <c r="M38" s="19">
        <v>5</v>
      </c>
      <c r="N38" s="20">
        <v>1210</v>
      </c>
      <c r="O38" s="19">
        <v>4</v>
      </c>
      <c r="P38" s="19">
        <v>710</v>
      </c>
    </row>
    <row r="39" spans="2:16" x14ac:dyDescent="0.3">
      <c r="B39" s="13" t="s">
        <v>224</v>
      </c>
      <c r="C39" s="19">
        <v>12</v>
      </c>
      <c r="D39" s="20">
        <v>2685</v>
      </c>
      <c r="E39" s="19">
        <v>2</v>
      </c>
      <c r="F39" s="19">
        <v>420</v>
      </c>
      <c r="G39" s="19">
        <v>2</v>
      </c>
      <c r="H39" s="19">
        <v>350</v>
      </c>
      <c r="I39" s="19">
        <v>3</v>
      </c>
      <c r="J39" s="19">
        <v>720</v>
      </c>
      <c r="K39" s="19">
        <v>1</v>
      </c>
      <c r="L39" s="19">
        <v>240</v>
      </c>
      <c r="M39" s="19">
        <v>2</v>
      </c>
      <c r="N39" s="19">
        <v>485</v>
      </c>
      <c r="O39" s="19">
        <v>2</v>
      </c>
      <c r="P39" s="19">
        <v>470</v>
      </c>
    </row>
    <row r="40" spans="2:16" x14ac:dyDescent="0.3">
      <c r="B40" s="13" t="s">
        <v>11</v>
      </c>
      <c r="C40" s="21">
        <v>40</v>
      </c>
      <c r="D40" s="22">
        <v>9105</v>
      </c>
      <c r="E40" s="21">
        <v>7</v>
      </c>
      <c r="F40" s="22">
        <v>1600</v>
      </c>
      <c r="G40" s="21">
        <v>6</v>
      </c>
      <c r="H40" s="22">
        <v>1270</v>
      </c>
      <c r="I40" s="21">
        <v>10</v>
      </c>
      <c r="J40" s="22">
        <v>2480</v>
      </c>
      <c r="K40" s="21">
        <v>4</v>
      </c>
      <c r="L40" s="21">
        <v>880</v>
      </c>
      <c r="M40" s="21">
        <v>7</v>
      </c>
      <c r="N40" s="22">
        <v>1695</v>
      </c>
      <c r="O40" s="21">
        <v>6</v>
      </c>
      <c r="P40" s="22">
        <v>1180</v>
      </c>
    </row>
  </sheetData>
  <mergeCells count="16">
    <mergeCell ref="AQ4:AT4"/>
    <mergeCell ref="B4:B5"/>
    <mergeCell ref="C4:F4"/>
    <mergeCell ref="G4:J4"/>
    <mergeCell ref="K4:N4"/>
    <mergeCell ref="O4:R4"/>
    <mergeCell ref="S4:V4"/>
    <mergeCell ref="W4:Z4"/>
    <mergeCell ref="AA4:AD4"/>
    <mergeCell ref="AE4:AH4"/>
    <mergeCell ref="AI4:AL4"/>
    <mergeCell ref="AM4:AP4"/>
    <mergeCell ref="C24:C26"/>
    <mergeCell ref="D24:D26"/>
    <mergeCell ref="B35:B37"/>
    <mergeCell ref="B24:B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WM_Shortfall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2026-08-04T17:43:26Z</dcterms:created>
  <dcterms:modified xsi:type="dcterms:W3CDTF">2026-09-21T05:17:41Z</dcterms:modified>
</cp:coreProperties>
</file>